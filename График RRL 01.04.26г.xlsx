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Апрель" sheetId="1" r:id="rId1"/>
    <sheet name="Май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AL11" i="2" l="1"/>
  <c r="AL10" i="2"/>
  <c r="AL9" i="2"/>
  <c r="AL8" i="2"/>
  <c r="AL7" i="2"/>
  <c r="AL6" i="2"/>
  <c r="AL5" i="2"/>
  <c r="AL4" i="2"/>
  <c r="AL11" i="1"/>
  <c r="AL10" i="1"/>
  <c r="AL9" i="1"/>
  <c r="AL8" i="1" l="1"/>
  <c r="AL7" i="1"/>
  <c r="AL6" i="1"/>
  <c r="AL5" i="1"/>
  <c r="AL4" i="1"/>
  <c r="AH17" i="1" l="1"/>
  <c r="AH16" i="1"/>
  <c r="AH15" i="1"/>
  <c r="AH18" i="1" l="1"/>
</calcChain>
</file>

<file path=xl/sharedStrings.xml><?xml version="1.0" encoding="utf-8"?>
<sst xmlns="http://schemas.openxmlformats.org/spreadsheetml/2006/main" count="276" uniqueCount="40">
  <si>
    <t>№</t>
  </si>
  <si>
    <t>Ф.И.О</t>
  </si>
  <si>
    <t>Пн</t>
  </si>
  <si>
    <t>Вт</t>
  </si>
  <si>
    <t>Ср</t>
  </si>
  <si>
    <t>Чт</t>
  </si>
  <si>
    <t>Пт</t>
  </si>
  <si>
    <t>Сб</t>
  </si>
  <si>
    <t>Вс</t>
  </si>
  <si>
    <t>Кол-во дневных смен</t>
  </si>
  <si>
    <t>Кол-во суточных смен</t>
  </si>
  <si>
    <t>Оплата за дневную смену</t>
  </si>
  <si>
    <t>Оплата за суточную смену</t>
  </si>
  <si>
    <t>К выплоте</t>
  </si>
  <si>
    <t>Примечание</t>
  </si>
  <si>
    <t>ВТ</t>
  </si>
  <si>
    <t>Toyota Haice 659DC02</t>
  </si>
  <si>
    <t>Toyota Haice 684DC02</t>
  </si>
  <si>
    <t>Toyota Haice 917СТ02</t>
  </si>
  <si>
    <t>Итого</t>
  </si>
  <si>
    <t>Арапат Бауыржан</t>
  </si>
  <si>
    <t>Шаповалов Павел</t>
  </si>
  <si>
    <t xml:space="preserve">Серикбаев Марат </t>
  </si>
  <si>
    <t xml:space="preserve">Кенжебаев Асет </t>
  </si>
  <si>
    <t xml:space="preserve">Бажутин Сергей </t>
  </si>
  <si>
    <t xml:space="preserve">Юсупов Амангельды </t>
  </si>
  <si>
    <t>Упилхан Амантай</t>
  </si>
  <si>
    <t xml:space="preserve">Джайлыбаев Бауыржан </t>
  </si>
  <si>
    <t>к\с</t>
  </si>
  <si>
    <t>з\к</t>
  </si>
  <si>
    <t>з\ш</t>
  </si>
  <si>
    <t>11,75</t>
  </si>
  <si>
    <t>8,5</t>
  </si>
  <si>
    <t>6,5</t>
  </si>
  <si>
    <t>1,75</t>
  </si>
  <si>
    <t>2</t>
  </si>
  <si>
    <t>С пенсионкой</t>
  </si>
  <si>
    <t>Без песиоки</t>
  </si>
  <si>
    <t>А</t>
  </si>
  <si>
    <t>График работы на Май 2026г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</si>
</sst>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ill="1"/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00FF"/>
      <color rgb="FFFF99FF"/>
      <color rgb="FFEFF69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"/>
  <sheetViews>
    <sheetView tabSelected="1" workbookViewId="0">
      <selection activeCell="AJ16" sqref="AJ16"/>
    </sheetView>
  </sheetViews>
  <sheetFormatPr defaultRowHeight="15" x14ac:dyDescent="0.25"/>
  <cols>
    <col min="1" max="1" width="4.85546875" style="16" customWidth="1"/>
    <col min="2" max="2" width="27.140625" customWidth="1"/>
    <col min="3" max="33" width="5.7109375" customWidth="1"/>
    <col min="34" max="35" width="18.42578125" style="16" customWidth="1"/>
    <col min="36" max="36" width="18" customWidth="1"/>
    <col min="37" max="37" width="19.5703125" style="16" customWidth="1"/>
    <col min="38" max="38" width="18.7109375" style="16" customWidth="1"/>
    <col min="39" max="39" width="18.140625" customWidth="1"/>
  </cols>
  <sheetData>
    <row r="1" spans="1:39" ht="15.75" x14ac:dyDescent="0.25">
      <c r="A1" s="29" t="s">
        <v>38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</row>
    <row r="2" spans="1:39" ht="15.75" x14ac:dyDescent="0.25">
      <c r="A2" s="30" t="s">
        <v>0</v>
      </c>
      <c r="B2" s="30" t="s">
        <v>1</v>
      </c>
      <c r="C2" s="1" t="s">
        <v>15</v>
      </c>
      <c r="D2" s="1" t="s">
        <v>4</v>
      </c>
      <c r="E2" s="1" t="s">
        <v>5</v>
      </c>
      <c r="F2" s="1" t="s">
        <v>6</v>
      </c>
      <c r="G2" s="17" t="s">
        <v>7</v>
      </c>
      <c r="H2" s="17" t="s">
        <v>8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2" t="s">
        <v>7</v>
      </c>
      <c r="O2" s="2" t="s">
        <v>8</v>
      </c>
      <c r="P2" s="1" t="s">
        <v>2</v>
      </c>
      <c r="Q2" s="1" t="s">
        <v>3</v>
      </c>
      <c r="R2" s="1" t="s">
        <v>4</v>
      </c>
      <c r="S2" s="1" t="s">
        <v>5</v>
      </c>
      <c r="T2" s="1" t="s">
        <v>6</v>
      </c>
      <c r="U2" s="2" t="s">
        <v>7</v>
      </c>
      <c r="V2" s="2" t="s">
        <v>8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6</v>
      </c>
      <c r="AB2" s="2" t="s">
        <v>7</v>
      </c>
      <c r="AC2" s="2" t="s">
        <v>8</v>
      </c>
      <c r="AD2" s="1" t="s">
        <v>2</v>
      </c>
      <c r="AE2" s="1" t="s">
        <v>3</v>
      </c>
      <c r="AF2" s="1" t="s">
        <v>4</v>
      </c>
      <c r="AG2" s="1" t="s">
        <v>5</v>
      </c>
      <c r="AH2" s="34" t="s">
        <v>9</v>
      </c>
      <c r="AI2" s="35" t="s">
        <v>10</v>
      </c>
      <c r="AJ2" s="34" t="s">
        <v>11</v>
      </c>
      <c r="AK2" s="35" t="s">
        <v>12</v>
      </c>
      <c r="AL2" s="32" t="s">
        <v>13</v>
      </c>
      <c r="AM2" s="33" t="s">
        <v>14</v>
      </c>
    </row>
    <row r="3" spans="1:39" ht="24.75" customHeight="1" x14ac:dyDescent="0.25">
      <c r="A3" s="30"/>
      <c r="B3" s="30"/>
      <c r="C3" s="3">
        <v>31</v>
      </c>
      <c r="D3" s="3">
        <v>1</v>
      </c>
      <c r="E3" s="3">
        <v>2</v>
      </c>
      <c r="F3" s="3">
        <v>3</v>
      </c>
      <c r="G3" s="3">
        <v>4</v>
      </c>
      <c r="H3" s="3">
        <v>5</v>
      </c>
      <c r="I3" s="3">
        <v>6</v>
      </c>
      <c r="J3" s="3">
        <v>7</v>
      </c>
      <c r="K3" s="3">
        <v>8</v>
      </c>
      <c r="L3" s="3">
        <v>9</v>
      </c>
      <c r="M3" s="3">
        <v>10</v>
      </c>
      <c r="N3" s="3">
        <v>11</v>
      </c>
      <c r="O3" s="3">
        <v>12</v>
      </c>
      <c r="P3" s="3">
        <v>13</v>
      </c>
      <c r="Q3" s="3">
        <v>14</v>
      </c>
      <c r="R3" s="3">
        <v>15</v>
      </c>
      <c r="S3" s="3">
        <v>16</v>
      </c>
      <c r="T3" s="3">
        <v>17</v>
      </c>
      <c r="U3" s="3">
        <v>18</v>
      </c>
      <c r="V3" s="3">
        <v>19</v>
      </c>
      <c r="W3" s="3">
        <v>20</v>
      </c>
      <c r="X3" s="3">
        <v>21</v>
      </c>
      <c r="Y3" s="3">
        <v>22</v>
      </c>
      <c r="Z3" s="3">
        <v>23</v>
      </c>
      <c r="AA3" s="3">
        <v>24</v>
      </c>
      <c r="AB3" s="3">
        <v>25</v>
      </c>
      <c r="AC3" s="3">
        <v>26</v>
      </c>
      <c r="AD3" s="3">
        <v>27</v>
      </c>
      <c r="AE3" s="3">
        <v>28</v>
      </c>
      <c r="AF3" s="3">
        <v>29</v>
      </c>
      <c r="AG3" s="3">
        <v>30</v>
      </c>
      <c r="AH3" s="34"/>
      <c r="AI3" s="35"/>
      <c r="AJ3" s="34"/>
      <c r="AK3" s="35"/>
      <c r="AL3" s="32"/>
      <c r="AM3" s="33"/>
    </row>
    <row r="4" spans="1:39" ht="15.75" x14ac:dyDescent="0.25">
      <c r="A4" s="4">
        <v>1</v>
      </c>
      <c r="B4" s="5" t="s">
        <v>20</v>
      </c>
      <c r="C4" s="20">
        <v>0.5</v>
      </c>
      <c r="D4" s="11">
        <v>0.5</v>
      </c>
      <c r="E4" s="6"/>
      <c r="F4" s="21">
        <v>1</v>
      </c>
      <c r="G4" s="22">
        <v>0.5</v>
      </c>
      <c r="H4" s="6"/>
      <c r="I4" s="21">
        <v>1</v>
      </c>
      <c r="J4" s="6"/>
      <c r="K4" s="6"/>
      <c r="L4" s="21">
        <v>1</v>
      </c>
      <c r="M4" s="6"/>
      <c r="N4" s="6"/>
      <c r="O4" s="21">
        <v>1</v>
      </c>
      <c r="P4" s="6"/>
      <c r="Q4" s="6"/>
      <c r="R4" s="21">
        <v>1</v>
      </c>
      <c r="S4" s="6"/>
      <c r="T4" s="6"/>
      <c r="U4" s="21">
        <v>1</v>
      </c>
      <c r="V4" s="6"/>
      <c r="W4" s="6"/>
      <c r="X4" s="21">
        <v>1</v>
      </c>
      <c r="Y4" s="6"/>
      <c r="Z4" s="6"/>
      <c r="AA4" s="6"/>
      <c r="AB4" s="6"/>
      <c r="AC4" s="6"/>
      <c r="AD4" s="6"/>
      <c r="AE4" s="6"/>
      <c r="AF4" s="6"/>
      <c r="AG4" s="21">
        <v>1</v>
      </c>
      <c r="AH4" s="8"/>
      <c r="AI4" s="25">
        <v>9.5</v>
      </c>
      <c r="AJ4" s="9">
        <v>11365</v>
      </c>
      <c r="AK4" s="9">
        <v>25000</v>
      </c>
      <c r="AL4" s="26">
        <f>SUM(AI4*AK4)</f>
        <v>237500</v>
      </c>
      <c r="AM4" s="10" t="s">
        <v>36</v>
      </c>
    </row>
    <row r="5" spans="1:39" ht="15.75" x14ac:dyDescent="0.25">
      <c r="A5" s="12">
        <v>2</v>
      </c>
      <c r="B5" s="15" t="s">
        <v>21</v>
      </c>
      <c r="C5" s="6"/>
      <c r="D5" s="6"/>
      <c r="E5" s="21">
        <v>1</v>
      </c>
      <c r="F5" s="6"/>
      <c r="G5" s="6"/>
      <c r="H5" s="21">
        <v>1</v>
      </c>
      <c r="I5" s="6"/>
      <c r="J5" s="6"/>
      <c r="K5" s="21">
        <v>1</v>
      </c>
      <c r="L5" s="6"/>
      <c r="M5" s="6"/>
      <c r="N5" s="21">
        <v>1</v>
      </c>
      <c r="O5" s="6"/>
      <c r="P5" s="6"/>
      <c r="Q5" s="21">
        <v>1</v>
      </c>
      <c r="R5" s="6"/>
      <c r="S5" s="6"/>
      <c r="T5" s="21">
        <v>1</v>
      </c>
      <c r="U5" s="6"/>
      <c r="V5" s="6"/>
      <c r="W5" s="21">
        <v>1</v>
      </c>
      <c r="X5" s="6"/>
      <c r="Y5" s="6"/>
      <c r="Z5" s="21">
        <v>1</v>
      </c>
      <c r="AA5" s="6"/>
      <c r="AB5" s="6"/>
      <c r="AC5" s="23">
        <v>1</v>
      </c>
      <c r="AD5" s="11">
        <v>0.5</v>
      </c>
      <c r="AE5" s="6"/>
      <c r="AF5" s="21">
        <v>1</v>
      </c>
      <c r="AG5" s="6"/>
      <c r="AH5" s="8"/>
      <c r="AI5" s="25">
        <v>10.5</v>
      </c>
      <c r="AJ5" s="9">
        <v>11365</v>
      </c>
      <c r="AK5" s="9">
        <v>25000</v>
      </c>
      <c r="AL5" s="26">
        <f>SUM(AI5*AK5)</f>
        <v>262500</v>
      </c>
      <c r="AM5" s="10" t="s">
        <v>36</v>
      </c>
    </row>
    <row r="6" spans="1:39" ht="15.75" x14ac:dyDescent="0.25">
      <c r="A6" s="12">
        <v>3</v>
      </c>
      <c r="B6" s="15" t="s">
        <v>22</v>
      </c>
      <c r="C6" s="6"/>
      <c r="D6" s="6"/>
      <c r="E6" s="21">
        <v>1</v>
      </c>
      <c r="F6" s="6"/>
      <c r="G6" s="6"/>
      <c r="H6" s="21">
        <v>1</v>
      </c>
      <c r="I6" s="6"/>
      <c r="J6" s="6"/>
      <c r="K6" s="21">
        <v>1</v>
      </c>
      <c r="L6" s="6"/>
      <c r="M6" s="6"/>
      <c r="N6" s="21">
        <v>1</v>
      </c>
      <c r="O6" s="6"/>
      <c r="P6" s="6"/>
      <c r="Q6" s="21">
        <v>1</v>
      </c>
      <c r="R6" s="6"/>
      <c r="S6" s="6"/>
      <c r="T6" s="21">
        <v>1</v>
      </c>
      <c r="U6" s="6"/>
      <c r="V6" s="6"/>
      <c r="W6" s="21">
        <v>1</v>
      </c>
      <c r="X6" s="6"/>
      <c r="Y6" s="6"/>
      <c r="Z6" s="21">
        <v>1</v>
      </c>
      <c r="AA6" s="6"/>
      <c r="AB6" s="6"/>
      <c r="AC6" s="23">
        <v>1</v>
      </c>
      <c r="AD6" s="20">
        <v>0.5</v>
      </c>
      <c r="AE6" s="6"/>
      <c r="AF6" s="21">
        <v>1</v>
      </c>
      <c r="AG6" s="6"/>
      <c r="AH6" s="8"/>
      <c r="AI6" s="25">
        <v>10.5</v>
      </c>
      <c r="AJ6" s="9">
        <v>11365</v>
      </c>
      <c r="AK6" s="9">
        <v>25000</v>
      </c>
      <c r="AL6" s="26">
        <f>SUM(AI6*AK6)</f>
        <v>262500</v>
      </c>
      <c r="AM6" s="10" t="s">
        <v>37</v>
      </c>
    </row>
    <row r="7" spans="1:39" ht="15.75" x14ac:dyDescent="0.25">
      <c r="A7" s="12">
        <v>4</v>
      </c>
      <c r="B7" s="5" t="s">
        <v>24</v>
      </c>
      <c r="C7" s="6"/>
      <c r="D7" s="6"/>
      <c r="E7" s="6"/>
      <c r="F7" s="21">
        <v>0.75</v>
      </c>
      <c r="G7" s="20">
        <v>0.5</v>
      </c>
      <c r="H7" s="6"/>
      <c r="I7" s="6"/>
      <c r="J7" s="21">
        <v>1</v>
      </c>
      <c r="K7" s="6"/>
      <c r="L7" s="11">
        <v>0.5</v>
      </c>
      <c r="M7" s="21">
        <v>1</v>
      </c>
      <c r="N7" s="6"/>
      <c r="O7" s="6"/>
      <c r="P7" s="21">
        <v>1</v>
      </c>
      <c r="Q7" s="6"/>
      <c r="R7" s="11">
        <v>0.5</v>
      </c>
      <c r="S7" s="21">
        <v>1</v>
      </c>
      <c r="T7" s="6"/>
      <c r="U7" s="20">
        <v>0.5</v>
      </c>
      <c r="V7" s="21">
        <v>1</v>
      </c>
      <c r="W7" s="6"/>
      <c r="X7" s="6"/>
      <c r="Y7" s="21">
        <v>1</v>
      </c>
      <c r="Z7" s="6"/>
      <c r="AA7" s="21">
        <v>1</v>
      </c>
      <c r="AB7" s="20">
        <v>0.5</v>
      </c>
      <c r="AC7" s="6"/>
      <c r="AD7" s="6"/>
      <c r="AE7" s="21">
        <v>1</v>
      </c>
      <c r="AF7" s="6"/>
      <c r="AG7" s="20">
        <v>0.5</v>
      </c>
      <c r="AH7" s="8"/>
      <c r="AI7" s="25" t="s">
        <v>31</v>
      </c>
      <c r="AJ7" s="9">
        <v>11365</v>
      </c>
      <c r="AK7" s="9">
        <v>25000</v>
      </c>
      <c r="AL7" s="26">
        <f>SUM(AI7*AK7)</f>
        <v>293750</v>
      </c>
      <c r="AM7" s="10" t="s">
        <v>36</v>
      </c>
    </row>
    <row r="8" spans="1:39" ht="15.75" x14ac:dyDescent="0.25">
      <c r="A8" s="12">
        <v>5</v>
      </c>
      <c r="B8" s="5" t="s">
        <v>23</v>
      </c>
      <c r="C8" s="6"/>
      <c r="D8" s="6"/>
      <c r="E8" s="6"/>
      <c r="F8" s="6"/>
      <c r="G8" s="6"/>
      <c r="H8" s="6"/>
      <c r="I8" s="6"/>
      <c r="J8" s="6"/>
      <c r="K8" s="6"/>
      <c r="L8" s="6"/>
      <c r="M8" s="21">
        <v>1</v>
      </c>
      <c r="N8" s="6"/>
      <c r="O8" s="6"/>
      <c r="P8" s="21">
        <v>1</v>
      </c>
      <c r="Q8" s="6"/>
      <c r="R8" s="6"/>
      <c r="S8" s="21">
        <v>1</v>
      </c>
      <c r="T8" s="6"/>
      <c r="U8" s="6"/>
      <c r="V8" s="21">
        <v>1</v>
      </c>
      <c r="W8" s="6"/>
      <c r="X8" s="11">
        <v>0.5</v>
      </c>
      <c r="Y8" s="21">
        <v>1</v>
      </c>
      <c r="Z8" s="6"/>
      <c r="AA8" s="11">
        <v>0.5</v>
      </c>
      <c r="AB8" s="21">
        <v>1</v>
      </c>
      <c r="AC8" s="6"/>
      <c r="AD8" s="20">
        <v>0.5</v>
      </c>
      <c r="AE8" s="21">
        <v>1</v>
      </c>
      <c r="AF8" s="6"/>
      <c r="AG8" s="6"/>
      <c r="AH8" s="8"/>
      <c r="AI8" s="25" t="s">
        <v>32</v>
      </c>
      <c r="AJ8" s="9">
        <v>11365</v>
      </c>
      <c r="AK8" s="9">
        <v>25000</v>
      </c>
      <c r="AL8" s="26">
        <f>SUM(AI8*AK8)</f>
        <v>212500</v>
      </c>
      <c r="AM8" s="10" t="s">
        <v>37</v>
      </c>
    </row>
    <row r="9" spans="1:39" ht="15.75" x14ac:dyDescent="0.25">
      <c r="A9" s="12">
        <v>3</v>
      </c>
      <c r="B9" s="5" t="s">
        <v>25</v>
      </c>
      <c r="C9" s="20">
        <v>0.5</v>
      </c>
      <c r="D9" s="21">
        <v>1</v>
      </c>
      <c r="E9" s="6"/>
      <c r="F9" s="6"/>
      <c r="G9" s="11">
        <v>0.5</v>
      </c>
      <c r="H9" s="6"/>
      <c r="I9" s="11">
        <v>0.5</v>
      </c>
      <c r="J9" s="21">
        <v>1</v>
      </c>
      <c r="K9" s="6"/>
      <c r="L9" s="20">
        <v>0.5</v>
      </c>
      <c r="M9" s="6"/>
      <c r="N9" s="6"/>
      <c r="O9" s="21">
        <v>1</v>
      </c>
      <c r="P9" s="6"/>
      <c r="Q9" s="6"/>
      <c r="R9" s="20">
        <v>0.5</v>
      </c>
      <c r="S9" s="6"/>
      <c r="T9" s="6"/>
      <c r="U9" s="6"/>
      <c r="V9" s="6"/>
      <c r="W9" s="6"/>
      <c r="X9" s="20">
        <v>0.5</v>
      </c>
      <c r="Y9" s="6"/>
      <c r="Z9" s="6"/>
      <c r="AA9" s="20">
        <v>0.5</v>
      </c>
      <c r="AB9" s="6"/>
      <c r="AC9" s="6"/>
      <c r="AD9" s="6"/>
      <c r="AE9" s="6"/>
      <c r="AF9" s="6"/>
      <c r="AG9" s="1">
        <v>1</v>
      </c>
      <c r="AH9" s="8">
        <v>1</v>
      </c>
      <c r="AI9" s="25" t="s">
        <v>33</v>
      </c>
      <c r="AJ9" s="9">
        <v>11365</v>
      </c>
      <c r="AK9" s="9">
        <v>25000</v>
      </c>
      <c r="AL9" s="8">
        <f>SUM((AI9*AK9)+(AH9*AJ9))</f>
        <v>173865</v>
      </c>
      <c r="AM9" s="10" t="s">
        <v>37</v>
      </c>
    </row>
    <row r="10" spans="1:39" ht="15.75" x14ac:dyDescent="0.25">
      <c r="A10" s="12">
        <v>7</v>
      </c>
      <c r="B10" s="5" t="s">
        <v>26</v>
      </c>
      <c r="C10" s="6"/>
      <c r="D10" s="20">
        <v>0.5</v>
      </c>
      <c r="E10" s="6"/>
      <c r="F10" s="11">
        <v>0.25</v>
      </c>
      <c r="G10" s="6"/>
      <c r="H10" s="6"/>
      <c r="I10" s="20">
        <v>0.5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>
        <v>0.5</v>
      </c>
      <c r="AE10" s="1">
        <v>1</v>
      </c>
      <c r="AF10" s="6"/>
      <c r="AG10" s="6"/>
      <c r="AH10" s="13">
        <v>1</v>
      </c>
      <c r="AI10" s="25" t="s">
        <v>34</v>
      </c>
      <c r="AJ10" s="9">
        <v>11365</v>
      </c>
      <c r="AK10" s="9">
        <v>25000</v>
      </c>
      <c r="AL10" s="8">
        <f>SUM((AI10*AK10)+(AH10*AJ10))</f>
        <v>55115</v>
      </c>
      <c r="AM10" s="10" t="s">
        <v>37</v>
      </c>
    </row>
    <row r="11" spans="1:39" ht="15.75" x14ac:dyDescent="0.25">
      <c r="A11" s="12">
        <v>8</v>
      </c>
      <c r="B11" s="5" t="s">
        <v>27</v>
      </c>
      <c r="C11" s="6"/>
      <c r="D11" s="6"/>
      <c r="E11" s="6"/>
      <c r="F11" s="1">
        <v>1</v>
      </c>
      <c r="G11" s="11">
        <v>0.5</v>
      </c>
      <c r="H11" s="6"/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6"/>
      <c r="O11" s="6"/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1">
        <v>0.5</v>
      </c>
      <c r="V11" s="6"/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1">
        <v>0.5</v>
      </c>
      <c r="AC11" s="6"/>
      <c r="AD11" s="1">
        <v>1</v>
      </c>
      <c r="AE11" s="6"/>
      <c r="AF11" s="6"/>
      <c r="AG11" s="11">
        <v>0.5</v>
      </c>
      <c r="AH11" s="13">
        <v>17</v>
      </c>
      <c r="AI11" s="26" t="s">
        <v>35</v>
      </c>
      <c r="AJ11" s="9">
        <v>11365</v>
      </c>
      <c r="AK11" s="9">
        <v>25000</v>
      </c>
      <c r="AL11" s="8">
        <f>SUM((AI11*AK11)+(AH11*AJ11))</f>
        <v>243205</v>
      </c>
      <c r="AM11" s="10" t="s">
        <v>36</v>
      </c>
    </row>
    <row r="12" spans="1:39" x14ac:dyDescent="0.25"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9" ht="15.75" x14ac:dyDescent="0.25">
      <c r="A13" s="30" t="s">
        <v>0</v>
      </c>
      <c r="B13" s="30" t="s">
        <v>1</v>
      </c>
      <c r="C13" s="1" t="s">
        <v>15</v>
      </c>
      <c r="D13" s="1" t="s">
        <v>4</v>
      </c>
      <c r="E13" s="1" t="s">
        <v>5</v>
      </c>
      <c r="F13" s="1" t="s">
        <v>6</v>
      </c>
      <c r="G13" s="17" t="s">
        <v>7</v>
      </c>
      <c r="H13" s="17" t="s">
        <v>8</v>
      </c>
      <c r="I13" s="1" t="s">
        <v>2</v>
      </c>
      <c r="J13" s="1" t="s">
        <v>3</v>
      </c>
      <c r="K13" s="1" t="s">
        <v>4</v>
      </c>
      <c r="L13" s="1" t="s">
        <v>5</v>
      </c>
      <c r="M13" s="1" t="s">
        <v>6</v>
      </c>
      <c r="N13" s="2" t="s">
        <v>7</v>
      </c>
      <c r="O13" s="2" t="s">
        <v>8</v>
      </c>
      <c r="P13" s="1" t="s">
        <v>2</v>
      </c>
      <c r="Q13" s="1" t="s">
        <v>3</v>
      </c>
      <c r="R13" s="1" t="s">
        <v>4</v>
      </c>
      <c r="S13" s="1" t="s">
        <v>5</v>
      </c>
      <c r="T13" s="1" t="s">
        <v>6</v>
      </c>
      <c r="U13" s="2" t="s">
        <v>7</v>
      </c>
      <c r="V13" s="2" t="s">
        <v>8</v>
      </c>
      <c r="W13" s="1" t="s">
        <v>2</v>
      </c>
      <c r="X13" s="1" t="s">
        <v>3</v>
      </c>
      <c r="Y13" s="1" t="s">
        <v>4</v>
      </c>
      <c r="Z13" s="1" t="s">
        <v>5</v>
      </c>
      <c r="AA13" s="1" t="s">
        <v>6</v>
      </c>
      <c r="AB13" s="2" t="s">
        <v>7</v>
      </c>
      <c r="AC13" s="2" t="s">
        <v>8</v>
      </c>
      <c r="AD13" s="1" t="s">
        <v>2</v>
      </c>
      <c r="AE13" s="1" t="s">
        <v>3</v>
      </c>
      <c r="AF13" s="1" t="s">
        <v>4</v>
      </c>
      <c r="AG13" s="1" t="s">
        <v>5</v>
      </c>
      <c r="AH13" s="31" t="s">
        <v>19</v>
      </c>
    </row>
    <row r="14" spans="1:39" ht="15.75" x14ac:dyDescent="0.25">
      <c r="A14" s="30"/>
      <c r="B14" s="30"/>
      <c r="C14" s="3">
        <v>31</v>
      </c>
      <c r="D14" s="3">
        <v>1</v>
      </c>
      <c r="E14" s="3">
        <v>2</v>
      </c>
      <c r="F14" s="3">
        <v>3</v>
      </c>
      <c r="G14" s="3">
        <v>4</v>
      </c>
      <c r="H14" s="3">
        <v>5</v>
      </c>
      <c r="I14" s="3">
        <v>6</v>
      </c>
      <c r="J14" s="3">
        <v>7</v>
      </c>
      <c r="K14" s="3">
        <v>8</v>
      </c>
      <c r="L14" s="3">
        <v>9</v>
      </c>
      <c r="M14" s="3">
        <v>10</v>
      </c>
      <c r="N14" s="3">
        <v>11</v>
      </c>
      <c r="O14" s="3">
        <v>12</v>
      </c>
      <c r="P14" s="3">
        <v>13</v>
      </c>
      <c r="Q14" s="3">
        <v>14</v>
      </c>
      <c r="R14" s="3">
        <v>15</v>
      </c>
      <c r="S14" s="3">
        <v>16</v>
      </c>
      <c r="T14" s="3">
        <v>17</v>
      </c>
      <c r="U14" s="3">
        <v>18</v>
      </c>
      <c r="V14" s="3">
        <v>19</v>
      </c>
      <c r="W14" s="3">
        <v>20</v>
      </c>
      <c r="X14" s="3">
        <v>21</v>
      </c>
      <c r="Y14" s="3">
        <v>22</v>
      </c>
      <c r="Z14" s="3">
        <v>23</v>
      </c>
      <c r="AA14" s="3">
        <v>24</v>
      </c>
      <c r="AB14" s="3">
        <v>25</v>
      </c>
      <c r="AC14" s="3">
        <v>26</v>
      </c>
      <c r="AD14" s="3">
        <v>27</v>
      </c>
      <c r="AE14" s="3">
        <v>28</v>
      </c>
      <c r="AF14" s="3">
        <v>29</v>
      </c>
      <c r="AG14" s="3">
        <v>30</v>
      </c>
      <c r="AH14" s="31"/>
    </row>
    <row r="15" spans="1:39" ht="15.75" x14ac:dyDescent="0.25">
      <c r="A15" s="4">
        <v>1</v>
      </c>
      <c r="B15" s="5" t="s">
        <v>16</v>
      </c>
      <c r="C15" s="6"/>
      <c r="D15" s="6">
        <v>42.56</v>
      </c>
      <c r="E15" s="6"/>
      <c r="F15" s="6">
        <v>24.16</v>
      </c>
      <c r="G15" s="6">
        <v>42.38</v>
      </c>
      <c r="H15" s="6"/>
      <c r="I15" s="6"/>
      <c r="J15" s="6">
        <v>42.38</v>
      </c>
      <c r="K15" s="6"/>
      <c r="L15" s="6">
        <v>42.38</v>
      </c>
      <c r="M15" s="6"/>
      <c r="N15" s="6">
        <v>42.38</v>
      </c>
      <c r="O15" s="6"/>
      <c r="P15" s="6">
        <v>42.38</v>
      </c>
      <c r="Q15" s="6"/>
      <c r="R15" s="6"/>
      <c r="S15" s="6">
        <v>42.38</v>
      </c>
      <c r="T15" s="6"/>
      <c r="U15" s="6">
        <v>42.38</v>
      </c>
      <c r="V15" s="6"/>
      <c r="W15" s="6"/>
      <c r="X15" s="6">
        <v>42.38</v>
      </c>
      <c r="Y15" s="6">
        <v>42.38</v>
      </c>
      <c r="Z15" s="6"/>
      <c r="AA15" s="6"/>
      <c r="AB15" s="6">
        <v>42.38</v>
      </c>
      <c r="AC15" s="6"/>
      <c r="AD15" s="6">
        <v>42.38</v>
      </c>
      <c r="AE15" s="6"/>
      <c r="AF15" s="6"/>
      <c r="AG15" s="6">
        <v>42.38</v>
      </c>
      <c r="AH15" s="19">
        <f>SUM(C15:AG15)</f>
        <v>575.28</v>
      </c>
    </row>
    <row r="16" spans="1:39" ht="15.75" x14ac:dyDescent="0.25">
      <c r="A16" s="12">
        <v>2</v>
      </c>
      <c r="B16" s="15" t="s">
        <v>17</v>
      </c>
      <c r="C16" s="6">
        <v>42.2</v>
      </c>
      <c r="D16" s="6"/>
      <c r="E16" s="6">
        <v>42.56</v>
      </c>
      <c r="F16" s="6"/>
      <c r="G16" s="6">
        <v>42.38</v>
      </c>
      <c r="H16" s="6"/>
      <c r="I16" s="6">
        <v>42.38</v>
      </c>
      <c r="J16" s="6"/>
      <c r="K16" s="6">
        <v>42.38</v>
      </c>
      <c r="L16" s="6"/>
      <c r="M16" s="6">
        <v>42.38</v>
      </c>
      <c r="N16" s="6"/>
      <c r="O16" s="6">
        <v>42.02</v>
      </c>
      <c r="P16" s="6"/>
      <c r="Q16" s="6">
        <v>42.38</v>
      </c>
      <c r="R16" s="6"/>
      <c r="S16" s="6">
        <v>42.38</v>
      </c>
      <c r="T16" s="6">
        <v>42.02</v>
      </c>
      <c r="U16" s="6"/>
      <c r="V16" s="6"/>
      <c r="W16" s="6">
        <v>42.02</v>
      </c>
      <c r="X16" s="6"/>
      <c r="Y16" s="6">
        <v>42.38</v>
      </c>
      <c r="Z16" s="6">
        <v>42.38</v>
      </c>
      <c r="AA16" s="6"/>
      <c r="AB16" s="6">
        <v>42.38</v>
      </c>
      <c r="AC16" s="6"/>
      <c r="AD16" s="6">
        <v>42.02</v>
      </c>
      <c r="AE16" s="6"/>
      <c r="AF16" s="6">
        <v>42.38</v>
      </c>
      <c r="AG16" s="6"/>
      <c r="AH16" s="19">
        <f>SUM(C16:AG16)</f>
        <v>676.64</v>
      </c>
    </row>
    <row r="17" spans="1:34" customFormat="1" ht="15.75" x14ac:dyDescent="0.25">
      <c r="A17" s="12">
        <v>3</v>
      </c>
      <c r="B17" s="15" t="s">
        <v>18</v>
      </c>
      <c r="C17" s="6"/>
      <c r="D17" s="6"/>
      <c r="E17" s="6"/>
      <c r="F17" s="6"/>
      <c r="G17" s="6"/>
      <c r="H17" s="6"/>
      <c r="I17" s="6"/>
      <c r="J17" s="6"/>
      <c r="K17" s="6"/>
      <c r="L17" s="6">
        <v>42.38</v>
      </c>
      <c r="M17" s="6"/>
      <c r="N17" s="6"/>
      <c r="O17" s="6"/>
      <c r="P17" s="6"/>
      <c r="Q17" s="6"/>
      <c r="R17" s="6"/>
      <c r="S17" s="6">
        <v>42.38</v>
      </c>
      <c r="T17" s="6"/>
      <c r="U17" s="6"/>
      <c r="V17" s="6"/>
      <c r="W17" s="6"/>
      <c r="X17" s="6"/>
      <c r="Y17" s="6"/>
      <c r="Z17" s="6">
        <v>42.38</v>
      </c>
      <c r="AA17" s="6"/>
      <c r="AB17" s="6"/>
      <c r="AC17" s="6"/>
      <c r="AD17" s="6"/>
      <c r="AE17" s="6"/>
      <c r="AF17" s="6"/>
      <c r="AG17" s="6"/>
      <c r="AH17" s="19">
        <f>SUM(C17:AG17)</f>
        <v>127.14000000000001</v>
      </c>
    </row>
    <row r="18" spans="1:34" s="16" customFormat="1" x14ac:dyDescent="0.25">
      <c r="A18" s="7"/>
      <c r="B18" s="19" t="s">
        <v>19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>
        <f>SUM(AH15:AH17)</f>
        <v>1379.0600000000002</v>
      </c>
    </row>
    <row r="20" spans="1:34" customFormat="1" ht="15.75" x14ac:dyDescent="0.25">
      <c r="A20" s="30" t="s">
        <v>0</v>
      </c>
      <c r="B20" s="30" t="s">
        <v>1</v>
      </c>
      <c r="C20" s="1" t="s">
        <v>15</v>
      </c>
      <c r="D20" s="1" t="s">
        <v>4</v>
      </c>
      <c r="E20" s="1" t="s">
        <v>5</v>
      </c>
      <c r="F20" s="1" t="s">
        <v>6</v>
      </c>
      <c r="G20" s="17" t="s">
        <v>7</v>
      </c>
      <c r="H20" s="17" t="s">
        <v>8</v>
      </c>
      <c r="I20" s="1" t="s">
        <v>2</v>
      </c>
      <c r="J20" s="1" t="s">
        <v>3</v>
      </c>
      <c r="K20" s="1" t="s">
        <v>4</v>
      </c>
      <c r="L20" s="1" t="s">
        <v>5</v>
      </c>
      <c r="M20" s="1" t="s">
        <v>6</v>
      </c>
      <c r="N20" s="2" t="s">
        <v>7</v>
      </c>
      <c r="O20" s="2" t="s">
        <v>8</v>
      </c>
      <c r="P20" s="1" t="s">
        <v>2</v>
      </c>
      <c r="Q20" s="1" t="s">
        <v>3</v>
      </c>
      <c r="R20" s="1" t="s">
        <v>4</v>
      </c>
      <c r="S20" s="1" t="s">
        <v>5</v>
      </c>
      <c r="T20" s="1" t="s">
        <v>6</v>
      </c>
      <c r="U20" s="2" t="s">
        <v>7</v>
      </c>
      <c r="V20" s="2" t="s">
        <v>8</v>
      </c>
      <c r="W20" s="1" t="s">
        <v>2</v>
      </c>
      <c r="X20" s="1" t="s">
        <v>3</v>
      </c>
      <c r="Y20" s="1" t="s">
        <v>4</v>
      </c>
      <c r="Z20" s="1" t="s">
        <v>5</v>
      </c>
      <c r="AA20" s="1" t="s">
        <v>6</v>
      </c>
      <c r="AB20" s="2" t="s">
        <v>7</v>
      </c>
      <c r="AC20" s="2" t="s">
        <v>8</v>
      </c>
      <c r="AD20" s="1" t="s">
        <v>2</v>
      </c>
      <c r="AE20" s="1" t="s">
        <v>3</v>
      </c>
      <c r="AF20" s="1" t="s">
        <v>4</v>
      </c>
      <c r="AG20" s="1" t="s">
        <v>5</v>
      </c>
      <c r="AH20" s="31" t="s">
        <v>19</v>
      </c>
    </row>
    <row r="21" spans="1:34" customFormat="1" ht="15.75" x14ac:dyDescent="0.25">
      <c r="A21" s="30"/>
      <c r="B21" s="30"/>
      <c r="C21" s="3">
        <v>31</v>
      </c>
      <c r="D21" s="3">
        <v>1</v>
      </c>
      <c r="E21" s="3">
        <v>2</v>
      </c>
      <c r="F21" s="3">
        <v>3</v>
      </c>
      <c r="G21" s="3">
        <v>4</v>
      </c>
      <c r="H21" s="3">
        <v>5</v>
      </c>
      <c r="I21" s="3">
        <v>6</v>
      </c>
      <c r="J21" s="3">
        <v>7</v>
      </c>
      <c r="K21" s="3">
        <v>8</v>
      </c>
      <c r="L21" s="3">
        <v>9</v>
      </c>
      <c r="M21" s="3">
        <v>10</v>
      </c>
      <c r="N21" s="3">
        <v>11</v>
      </c>
      <c r="O21" s="3">
        <v>12</v>
      </c>
      <c r="P21" s="3">
        <v>13</v>
      </c>
      <c r="Q21" s="3">
        <v>14</v>
      </c>
      <c r="R21" s="3">
        <v>15</v>
      </c>
      <c r="S21" s="3">
        <v>16</v>
      </c>
      <c r="T21" s="3">
        <v>17</v>
      </c>
      <c r="U21" s="3">
        <v>18</v>
      </c>
      <c r="V21" s="3">
        <v>19</v>
      </c>
      <c r="W21" s="3">
        <v>20</v>
      </c>
      <c r="X21" s="3">
        <v>21</v>
      </c>
      <c r="Y21" s="3">
        <v>22</v>
      </c>
      <c r="Z21" s="3">
        <v>23</v>
      </c>
      <c r="AA21" s="3">
        <v>24</v>
      </c>
      <c r="AB21" s="3">
        <v>25</v>
      </c>
      <c r="AC21" s="3">
        <v>26</v>
      </c>
      <c r="AD21" s="3">
        <v>27</v>
      </c>
      <c r="AE21" s="3">
        <v>28</v>
      </c>
      <c r="AF21" s="3">
        <v>29</v>
      </c>
      <c r="AG21" s="3">
        <v>30</v>
      </c>
      <c r="AH21" s="31"/>
    </row>
    <row r="22" spans="1:34" customFormat="1" ht="15.75" x14ac:dyDescent="0.25">
      <c r="A22" s="4">
        <v>1</v>
      </c>
      <c r="B22" s="5" t="s">
        <v>16</v>
      </c>
      <c r="C22" s="6" t="s">
        <v>28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 t="s">
        <v>30</v>
      </c>
      <c r="S22" s="6"/>
      <c r="T22" s="6"/>
      <c r="U22" s="6"/>
      <c r="V22" s="6" t="s">
        <v>28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19"/>
    </row>
    <row r="23" spans="1:34" customFormat="1" ht="15.75" x14ac:dyDescent="0.25">
      <c r="A23" s="12">
        <v>2</v>
      </c>
      <c r="B23" s="15" t="s">
        <v>17</v>
      </c>
      <c r="C23" s="6" t="s">
        <v>28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 t="s">
        <v>29</v>
      </c>
      <c r="S23" s="6"/>
      <c r="T23" s="6"/>
      <c r="U23" s="6" t="s">
        <v>28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19"/>
    </row>
    <row r="24" spans="1:34" customFormat="1" ht="15.75" x14ac:dyDescent="0.25">
      <c r="A24" s="12">
        <v>3</v>
      </c>
      <c r="B24" s="15" t="s">
        <v>18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 t="s">
        <v>28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19"/>
    </row>
    <row r="25" spans="1:34" customFormat="1" x14ac:dyDescent="0.25">
      <c r="A25" s="7"/>
      <c r="B25" s="19" t="s">
        <v>19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</row>
  </sheetData>
  <mergeCells count="15">
    <mergeCell ref="A1:AM1"/>
    <mergeCell ref="A13:A14"/>
    <mergeCell ref="B13:B14"/>
    <mergeCell ref="AH13:AH14"/>
    <mergeCell ref="A20:A21"/>
    <mergeCell ref="B20:B21"/>
    <mergeCell ref="AH20:AH21"/>
    <mergeCell ref="AL2:AL3"/>
    <mergeCell ref="AM2:AM3"/>
    <mergeCell ref="A2:A3"/>
    <mergeCell ref="B2:B3"/>
    <mergeCell ref="AH2:AH3"/>
    <mergeCell ref="AI2:AI3"/>
    <mergeCell ref="AJ2:AJ3"/>
    <mergeCell ref="AK2:AK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"/>
  <sheetViews>
    <sheetView workbookViewId="0">
      <selection activeCell="AF32" sqref="AF32"/>
    </sheetView>
  </sheetViews>
  <sheetFormatPr defaultRowHeight="15" x14ac:dyDescent="0.25"/>
  <cols>
    <col min="1" max="1" width="4.85546875" style="16" customWidth="1"/>
    <col min="2" max="2" width="27.140625" customWidth="1"/>
    <col min="3" max="33" width="5.7109375" customWidth="1"/>
    <col min="34" max="35" width="18.42578125" style="16" customWidth="1"/>
    <col min="36" max="36" width="18" customWidth="1"/>
    <col min="37" max="37" width="19.5703125" style="16" customWidth="1"/>
    <col min="38" max="38" width="18.7109375" style="16" customWidth="1"/>
    <col min="39" max="39" width="18.140625" customWidth="1"/>
  </cols>
  <sheetData>
    <row r="1" spans="1:39" ht="15.75" x14ac:dyDescent="0.25">
      <c r="A1" s="29" t="s">
        <v>39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</row>
    <row r="2" spans="1:39" ht="15.75" x14ac:dyDescent="0.25">
      <c r="A2" s="30" t="s">
        <v>0</v>
      </c>
      <c r="B2" s="30" t="s">
        <v>1</v>
      </c>
      <c r="C2" s="2" t="s">
        <v>6</v>
      </c>
      <c r="D2" s="2" t="s">
        <v>7</v>
      </c>
      <c r="E2" s="2" t="s">
        <v>8</v>
      </c>
      <c r="F2" s="1" t="s">
        <v>2</v>
      </c>
      <c r="G2" s="1" t="s">
        <v>3</v>
      </c>
      <c r="H2" s="1" t="s">
        <v>4</v>
      </c>
      <c r="I2" s="2" t="s">
        <v>5</v>
      </c>
      <c r="J2" s="1" t="s">
        <v>6</v>
      </c>
      <c r="K2" s="2" t="s">
        <v>7</v>
      </c>
      <c r="L2" s="2" t="s">
        <v>8</v>
      </c>
      <c r="M2" s="2" t="s">
        <v>2</v>
      </c>
      <c r="N2" s="1" t="s">
        <v>3</v>
      </c>
      <c r="O2" s="1" t="s">
        <v>4</v>
      </c>
      <c r="P2" s="1" t="s">
        <v>5</v>
      </c>
      <c r="Q2" s="1" t="s">
        <v>6</v>
      </c>
      <c r="R2" s="2" t="s">
        <v>7</v>
      </c>
      <c r="S2" s="2" t="s">
        <v>8</v>
      </c>
      <c r="T2" s="1" t="s">
        <v>2</v>
      </c>
      <c r="U2" s="1" t="s">
        <v>3</v>
      </c>
      <c r="V2" s="1" t="s">
        <v>4</v>
      </c>
      <c r="W2" s="1" t="s">
        <v>5</v>
      </c>
      <c r="X2" s="1" t="s">
        <v>6</v>
      </c>
      <c r="Y2" s="2" t="s">
        <v>7</v>
      </c>
      <c r="Z2" s="2" t="s">
        <v>8</v>
      </c>
      <c r="AA2" s="1" t="s">
        <v>2</v>
      </c>
      <c r="AB2" s="1" t="s">
        <v>3</v>
      </c>
      <c r="AC2" s="1" t="s">
        <v>4</v>
      </c>
      <c r="AD2" s="1" t="s">
        <v>5</v>
      </c>
      <c r="AE2" s="1" t="s">
        <v>6</v>
      </c>
      <c r="AF2" s="2" t="s">
        <v>7</v>
      </c>
      <c r="AG2" s="2" t="s">
        <v>8</v>
      </c>
      <c r="AH2" s="34" t="s">
        <v>9</v>
      </c>
      <c r="AI2" s="35" t="s">
        <v>10</v>
      </c>
      <c r="AJ2" s="34" t="s">
        <v>11</v>
      </c>
      <c r="AK2" s="35" t="s">
        <v>12</v>
      </c>
      <c r="AL2" s="32" t="s">
        <v>13</v>
      </c>
      <c r="AM2" s="33" t="s">
        <v>14</v>
      </c>
    </row>
    <row r="3" spans="1:39" ht="24.75" customHeight="1" x14ac:dyDescent="0.25">
      <c r="A3" s="30"/>
      <c r="B3" s="30"/>
      <c r="C3" s="24">
        <v>1</v>
      </c>
      <c r="D3" s="24">
        <v>2</v>
      </c>
      <c r="E3" s="24">
        <v>3</v>
      </c>
      <c r="F3" s="24">
        <v>4</v>
      </c>
      <c r="G3" s="24">
        <v>5</v>
      </c>
      <c r="H3" s="24">
        <v>6</v>
      </c>
      <c r="I3" s="24">
        <v>7</v>
      </c>
      <c r="J3" s="24">
        <v>8</v>
      </c>
      <c r="K3" s="24">
        <v>9</v>
      </c>
      <c r="L3" s="24">
        <v>10</v>
      </c>
      <c r="M3" s="24">
        <v>11</v>
      </c>
      <c r="N3" s="24">
        <v>12</v>
      </c>
      <c r="O3" s="24">
        <v>13</v>
      </c>
      <c r="P3" s="24">
        <v>14</v>
      </c>
      <c r="Q3" s="24">
        <v>15</v>
      </c>
      <c r="R3" s="24">
        <v>16</v>
      </c>
      <c r="S3" s="24">
        <v>17</v>
      </c>
      <c r="T3" s="24">
        <v>18</v>
      </c>
      <c r="U3" s="24">
        <v>19</v>
      </c>
      <c r="V3" s="24">
        <v>20</v>
      </c>
      <c r="W3" s="24">
        <v>21</v>
      </c>
      <c r="X3" s="24">
        <v>22</v>
      </c>
      <c r="Y3" s="24">
        <v>23</v>
      </c>
      <c r="Z3" s="24">
        <v>24</v>
      </c>
      <c r="AA3" s="24">
        <v>25</v>
      </c>
      <c r="AB3" s="24">
        <v>26</v>
      </c>
      <c r="AC3" s="24">
        <v>27</v>
      </c>
      <c r="AD3" s="24">
        <v>28</v>
      </c>
      <c r="AE3" s="24">
        <v>29</v>
      </c>
      <c r="AF3" s="24">
        <v>30</v>
      </c>
      <c r="AG3" s="24">
        <v>31</v>
      </c>
      <c r="AH3" s="34"/>
      <c r="AI3" s="35"/>
      <c r="AJ3" s="34"/>
      <c r="AK3" s="35"/>
      <c r="AL3" s="32"/>
      <c r="AM3" s="33"/>
    </row>
    <row r="4" spans="1:39" ht="15.75" x14ac:dyDescent="0.25">
      <c r="A4" s="4">
        <v>1</v>
      </c>
      <c r="B4" s="5" t="s">
        <v>20</v>
      </c>
      <c r="C4" s="6"/>
      <c r="D4" s="6"/>
      <c r="E4" s="21">
        <v>1</v>
      </c>
      <c r="F4" s="2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8"/>
      <c r="AI4" s="25"/>
      <c r="AJ4" s="9">
        <v>11365</v>
      </c>
      <c r="AK4" s="9">
        <v>25000</v>
      </c>
      <c r="AL4" s="26">
        <f>SUM(AI4*AK4)</f>
        <v>0</v>
      </c>
      <c r="AM4" s="10" t="s">
        <v>36</v>
      </c>
    </row>
    <row r="5" spans="1:39" ht="15.75" x14ac:dyDescent="0.25">
      <c r="A5" s="12">
        <v>2</v>
      </c>
      <c r="B5" s="15" t="s">
        <v>21</v>
      </c>
      <c r="C5" s="6"/>
      <c r="D5" s="21">
        <v>1</v>
      </c>
      <c r="E5" s="20">
        <v>0.5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27"/>
      <c r="AC5" s="6"/>
      <c r="AD5" s="6"/>
      <c r="AE5" s="6"/>
      <c r="AF5" s="6"/>
      <c r="AG5" s="6"/>
      <c r="AH5" s="8"/>
      <c r="AI5" s="25"/>
      <c r="AJ5" s="9">
        <v>11365</v>
      </c>
      <c r="AK5" s="9">
        <v>25000</v>
      </c>
      <c r="AL5" s="26">
        <f>SUM(AI5*AK5)</f>
        <v>0</v>
      </c>
      <c r="AM5" s="10" t="s">
        <v>36</v>
      </c>
    </row>
    <row r="6" spans="1:39" ht="15.75" x14ac:dyDescent="0.25">
      <c r="A6" s="12">
        <v>3</v>
      </c>
      <c r="B6" s="15" t="s">
        <v>22</v>
      </c>
      <c r="C6" s="11">
        <v>0.5</v>
      </c>
      <c r="D6" s="21">
        <v>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27"/>
      <c r="AC6" s="6"/>
      <c r="AD6" s="6"/>
      <c r="AE6" s="6"/>
      <c r="AF6" s="6"/>
      <c r="AG6" s="6"/>
      <c r="AH6" s="8"/>
      <c r="AI6" s="25"/>
      <c r="AJ6" s="9">
        <v>11365</v>
      </c>
      <c r="AK6" s="9">
        <v>25000</v>
      </c>
      <c r="AL6" s="26">
        <f>SUM(AI6*AK6)</f>
        <v>0</v>
      </c>
      <c r="AM6" s="10" t="s">
        <v>37</v>
      </c>
    </row>
    <row r="7" spans="1:39" ht="15.75" x14ac:dyDescent="0.25">
      <c r="A7" s="12">
        <v>4</v>
      </c>
      <c r="B7" s="5" t="s">
        <v>24</v>
      </c>
      <c r="C7" s="20">
        <v>0.5</v>
      </c>
      <c r="D7" s="6"/>
      <c r="E7" s="6"/>
      <c r="F7" s="21">
        <v>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8"/>
      <c r="AI7" s="25"/>
      <c r="AJ7" s="9">
        <v>11365</v>
      </c>
      <c r="AK7" s="9">
        <v>25000</v>
      </c>
      <c r="AL7" s="26">
        <f>SUM(AI7*AK7)</f>
        <v>0</v>
      </c>
      <c r="AM7" s="10" t="s">
        <v>36</v>
      </c>
    </row>
    <row r="8" spans="1:39" ht="15.75" x14ac:dyDescent="0.25">
      <c r="A8" s="12">
        <v>5</v>
      </c>
      <c r="B8" s="5" t="s">
        <v>23</v>
      </c>
      <c r="C8" s="21">
        <v>1</v>
      </c>
      <c r="D8" s="6"/>
      <c r="E8" s="6"/>
      <c r="F8" s="21">
        <v>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8"/>
      <c r="AI8" s="25"/>
      <c r="AJ8" s="9">
        <v>11365</v>
      </c>
      <c r="AK8" s="9">
        <v>25000</v>
      </c>
      <c r="AL8" s="26">
        <f>SUM(AI8*AK8)</f>
        <v>0</v>
      </c>
      <c r="AM8" s="10" t="s">
        <v>37</v>
      </c>
    </row>
    <row r="9" spans="1:39" ht="15.75" x14ac:dyDescent="0.25">
      <c r="A9" s="12">
        <v>3</v>
      </c>
      <c r="B9" s="5" t="s">
        <v>25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8"/>
      <c r="AI9" s="25"/>
      <c r="AJ9" s="9">
        <v>11365</v>
      </c>
      <c r="AK9" s="9">
        <v>25000</v>
      </c>
      <c r="AL9" s="8">
        <f>SUM((AI9*AK9)+(AH9*AJ9))</f>
        <v>0</v>
      </c>
      <c r="AM9" s="10" t="s">
        <v>37</v>
      </c>
    </row>
    <row r="10" spans="1:39" ht="15.75" x14ac:dyDescent="0.25">
      <c r="A10" s="12">
        <v>7</v>
      </c>
      <c r="B10" s="5" t="s">
        <v>26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28"/>
      <c r="AH10" s="13"/>
      <c r="AI10" s="25"/>
      <c r="AJ10" s="9">
        <v>11365</v>
      </c>
      <c r="AK10" s="9">
        <v>25000</v>
      </c>
      <c r="AL10" s="8">
        <f>SUM((AI10*AK10)+(AH10*AJ10))</f>
        <v>0</v>
      </c>
      <c r="AM10" s="10" t="s">
        <v>37</v>
      </c>
    </row>
    <row r="11" spans="1:39" ht="15.75" x14ac:dyDescent="0.25">
      <c r="A11" s="12">
        <v>8</v>
      </c>
      <c r="B11" s="5" t="s">
        <v>27</v>
      </c>
      <c r="C11" s="6"/>
      <c r="D11" s="6"/>
      <c r="E11" s="11">
        <v>0.5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28"/>
      <c r="AH11" s="13"/>
      <c r="AI11" s="26"/>
      <c r="AJ11" s="9">
        <v>11365</v>
      </c>
      <c r="AK11" s="9">
        <v>25000</v>
      </c>
      <c r="AL11" s="8">
        <f>SUM((AI11*AK11)+(AH11*AJ11))</f>
        <v>0</v>
      </c>
      <c r="AM11" s="10" t="s">
        <v>36</v>
      </c>
    </row>
    <row r="12" spans="1:39" x14ac:dyDescent="0.25"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9" ht="15.75" x14ac:dyDescent="0.25">
      <c r="A13" s="30" t="s">
        <v>0</v>
      </c>
      <c r="B13" s="30" t="s">
        <v>1</v>
      </c>
      <c r="C13" s="2" t="s">
        <v>6</v>
      </c>
      <c r="D13" s="2" t="s">
        <v>7</v>
      </c>
      <c r="E13" s="2" t="s">
        <v>8</v>
      </c>
      <c r="F13" s="1" t="s">
        <v>2</v>
      </c>
      <c r="G13" s="1" t="s">
        <v>3</v>
      </c>
      <c r="H13" s="1" t="s">
        <v>4</v>
      </c>
      <c r="I13" s="2" t="s">
        <v>5</v>
      </c>
      <c r="J13" s="1" t="s">
        <v>6</v>
      </c>
      <c r="K13" s="2" t="s">
        <v>7</v>
      </c>
      <c r="L13" s="2" t="s">
        <v>8</v>
      </c>
      <c r="M13" s="2" t="s">
        <v>2</v>
      </c>
      <c r="N13" s="1" t="s">
        <v>3</v>
      </c>
      <c r="O13" s="1" t="s">
        <v>4</v>
      </c>
      <c r="P13" s="1" t="s">
        <v>5</v>
      </c>
      <c r="Q13" s="1" t="s">
        <v>6</v>
      </c>
      <c r="R13" s="2" t="s">
        <v>7</v>
      </c>
      <c r="S13" s="2" t="s">
        <v>8</v>
      </c>
      <c r="T13" s="1" t="s">
        <v>2</v>
      </c>
      <c r="U13" s="1" t="s">
        <v>3</v>
      </c>
      <c r="V13" s="1" t="s">
        <v>4</v>
      </c>
      <c r="W13" s="1" t="s">
        <v>5</v>
      </c>
      <c r="X13" s="1" t="s">
        <v>6</v>
      </c>
      <c r="Y13" s="2" t="s">
        <v>7</v>
      </c>
      <c r="Z13" s="2" t="s">
        <v>8</v>
      </c>
      <c r="AA13" s="1" t="s">
        <v>2</v>
      </c>
      <c r="AB13" s="1" t="s">
        <v>3</v>
      </c>
      <c r="AC13" s="1" t="s">
        <v>4</v>
      </c>
      <c r="AD13" s="1" t="s">
        <v>5</v>
      </c>
      <c r="AE13" s="1" t="s">
        <v>6</v>
      </c>
      <c r="AF13" s="2" t="s">
        <v>7</v>
      </c>
      <c r="AG13" s="2" t="s">
        <v>8</v>
      </c>
      <c r="AH13" s="31" t="s">
        <v>19</v>
      </c>
    </row>
    <row r="14" spans="1:39" ht="15.75" x14ac:dyDescent="0.25">
      <c r="A14" s="30"/>
      <c r="B14" s="30"/>
      <c r="C14" s="24">
        <v>1</v>
      </c>
      <c r="D14" s="24">
        <v>2</v>
      </c>
      <c r="E14" s="24">
        <v>3</v>
      </c>
      <c r="F14" s="24">
        <v>4</v>
      </c>
      <c r="G14" s="24">
        <v>5</v>
      </c>
      <c r="H14" s="24">
        <v>6</v>
      </c>
      <c r="I14" s="24">
        <v>7</v>
      </c>
      <c r="J14" s="24">
        <v>8</v>
      </c>
      <c r="K14" s="24">
        <v>9</v>
      </c>
      <c r="L14" s="24">
        <v>10</v>
      </c>
      <c r="M14" s="24">
        <v>11</v>
      </c>
      <c r="N14" s="24">
        <v>12</v>
      </c>
      <c r="O14" s="24">
        <v>13</v>
      </c>
      <c r="P14" s="24">
        <v>14</v>
      </c>
      <c r="Q14" s="24">
        <v>15</v>
      </c>
      <c r="R14" s="24">
        <v>16</v>
      </c>
      <c r="S14" s="24">
        <v>17</v>
      </c>
      <c r="T14" s="24">
        <v>18</v>
      </c>
      <c r="U14" s="24">
        <v>19</v>
      </c>
      <c r="V14" s="24">
        <v>20</v>
      </c>
      <c r="W14" s="24">
        <v>21</v>
      </c>
      <c r="X14" s="24">
        <v>22</v>
      </c>
      <c r="Y14" s="24">
        <v>23</v>
      </c>
      <c r="Z14" s="24">
        <v>24</v>
      </c>
      <c r="AA14" s="24">
        <v>25</v>
      </c>
      <c r="AB14" s="24">
        <v>26</v>
      </c>
      <c r="AC14" s="24">
        <v>27</v>
      </c>
      <c r="AD14" s="24">
        <v>28</v>
      </c>
      <c r="AE14" s="24">
        <v>29</v>
      </c>
      <c r="AF14" s="24">
        <v>30</v>
      </c>
      <c r="AG14" s="24">
        <v>31</v>
      </c>
      <c r="AH14" s="31"/>
    </row>
    <row r="15" spans="1:39" ht="15.75" x14ac:dyDescent="0.25">
      <c r="A15" s="4">
        <v>1</v>
      </c>
      <c r="B15" s="5" t="s">
        <v>16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19"/>
    </row>
    <row r="16" spans="1:39" ht="15.75" x14ac:dyDescent="0.25">
      <c r="A16" s="12">
        <v>2</v>
      </c>
      <c r="B16" s="15" t="s">
        <v>17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19"/>
    </row>
    <row r="17" spans="1:38" ht="15.75" x14ac:dyDescent="0.25">
      <c r="A17" s="12">
        <v>3</v>
      </c>
      <c r="B17" s="15" t="s">
        <v>18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19"/>
      <c r="AI17"/>
      <c r="AK17"/>
      <c r="AL17"/>
    </row>
    <row r="18" spans="1:38" s="16" customFormat="1" x14ac:dyDescent="0.25">
      <c r="A18" s="7"/>
      <c r="B18" s="19" t="s">
        <v>19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20" spans="1:38" ht="15.75" x14ac:dyDescent="0.25">
      <c r="A20" s="30" t="s">
        <v>0</v>
      </c>
      <c r="B20" s="30" t="s">
        <v>1</v>
      </c>
      <c r="C20" s="2" t="s">
        <v>6</v>
      </c>
      <c r="D20" s="2" t="s">
        <v>7</v>
      </c>
      <c r="E20" s="2" t="s">
        <v>8</v>
      </c>
      <c r="F20" s="1" t="s">
        <v>2</v>
      </c>
      <c r="G20" s="1" t="s">
        <v>3</v>
      </c>
      <c r="H20" s="1" t="s">
        <v>4</v>
      </c>
      <c r="I20" s="2" t="s">
        <v>5</v>
      </c>
      <c r="J20" s="1" t="s">
        <v>6</v>
      </c>
      <c r="K20" s="2" t="s">
        <v>7</v>
      </c>
      <c r="L20" s="2" t="s">
        <v>8</v>
      </c>
      <c r="M20" s="2" t="s">
        <v>2</v>
      </c>
      <c r="N20" s="1" t="s">
        <v>3</v>
      </c>
      <c r="O20" s="1" t="s">
        <v>4</v>
      </c>
      <c r="P20" s="1" t="s">
        <v>5</v>
      </c>
      <c r="Q20" s="1" t="s">
        <v>6</v>
      </c>
      <c r="R20" s="2" t="s">
        <v>7</v>
      </c>
      <c r="S20" s="2" t="s">
        <v>8</v>
      </c>
      <c r="T20" s="1" t="s">
        <v>2</v>
      </c>
      <c r="U20" s="1" t="s">
        <v>3</v>
      </c>
      <c r="V20" s="1" t="s">
        <v>4</v>
      </c>
      <c r="W20" s="1" t="s">
        <v>5</v>
      </c>
      <c r="X20" s="1" t="s">
        <v>6</v>
      </c>
      <c r="Y20" s="2" t="s">
        <v>7</v>
      </c>
      <c r="Z20" s="2" t="s">
        <v>8</v>
      </c>
      <c r="AA20" s="1" t="s">
        <v>2</v>
      </c>
      <c r="AB20" s="1" t="s">
        <v>3</v>
      </c>
      <c r="AC20" s="1" t="s">
        <v>4</v>
      </c>
      <c r="AD20" s="1" t="s">
        <v>5</v>
      </c>
      <c r="AE20" s="1" t="s">
        <v>6</v>
      </c>
      <c r="AF20" s="2" t="s">
        <v>7</v>
      </c>
      <c r="AG20" s="2" t="s">
        <v>8</v>
      </c>
      <c r="AH20" s="31" t="s">
        <v>19</v>
      </c>
      <c r="AI20"/>
      <c r="AK20"/>
      <c r="AL20"/>
    </row>
    <row r="21" spans="1:38" ht="15.75" x14ac:dyDescent="0.25">
      <c r="A21" s="30"/>
      <c r="B21" s="30"/>
      <c r="C21" s="24">
        <v>1</v>
      </c>
      <c r="D21" s="24">
        <v>2</v>
      </c>
      <c r="E21" s="24">
        <v>3</v>
      </c>
      <c r="F21" s="24">
        <v>4</v>
      </c>
      <c r="G21" s="24">
        <v>5</v>
      </c>
      <c r="H21" s="24">
        <v>6</v>
      </c>
      <c r="I21" s="24">
        <v>7</v>
      </c>
      <c r="J21" s="24">
        <v>8</v>
      </c>
      <c r="K21" s="24">
        <v>9</v>
      </c>
      <c r="L21" s="24">
        <v>10</v>
      </c>
      <c r="M21" s="24">
        <v>11</v>
      </c>
      <c r="N21" s="24">
        <v>12</v>
      </c>
      <c r="O21" s="24">
        <v>13</v>
      </c>
      <c r="P21" s="24">
        <v>14</v>
      </c>
      <c r="Q21" s="24">
        <v>15</v>
      </c>
      <c r="R21" s="24">
        <v>16</v>
      </c>
      <c r="S21" s="24">
        <v>17</v>
      </c>
      <c r="T21" s="24">
        <v>18</v>
      </c>
      <c r="U21" s="24">
        <v>19</v>
      </c>
      <c r="V21" s="24">
        <v>20</v>
      </c>
      <c r="W21" s="24">
        <v>21</v>
      </c>
      <c r="X21" s="24">
        <v>22</v>
      </c>
      <c r="Y21" s="24">
        <v>23</v>
      </c>
      <c r="Z21" s="24">
        <v>24</v>
      </c>
      <c r="AA21" s="24">
        <v>25</v>
      </c>
      <c r="AB21" s="24">
        <v>26</v>
      </c>
      <c r="AC21" s="24">
        <v>27</v>
      </c>
      <c r="AD21" s="24">
        <v>28</v>
      </c>
      <c r="AE21" s="24">
        <v>29</v>
      </c>
      <c r="AF21" s="24">
        <v>30</v>
      </c>
      <c r="AG21" s="24">
        <v>31</v>
      </c>
      <c r="AH21" s="31"/>
      <c r="AI21"/>
      <c r="AK21"/>
      <c r="AL21"/>
    </row>
    <row r="22" spans="1:38" ht="15.75" x14ac:dyDescent="0.25">
      <c r="A22" s="4">
        <v>1</v>
      </c>
      <c r="B22" s="5" t="s">
        <v>16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19"/>
      <c r="AI22"/>
      <c r="AK22"/>
      <c r="AL22"/>
    </row>
    <row r="23" spans="1:38" ht="15.75" x14ac:dyDescent="0.25">
      <c r="A23" s="12">
        <v>2</v>
      </c>
      <c r="B23" s="15" t="s">
        <v>17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19"/>
      <c r="AI23"/>
      <c r="AK23"/>
      <c r="AL23"/>
    </row>
    <row r="24" spans="1:38" ht="15.75" x14ac:dyDescent="0.25">
      <c r="A24" s="12">
        <v>3</v>
      </c>
      <c r="B24" s="15" t="s">
        <v>18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19"/>
      <c r="AI24"/>
      <c r="AK24"/>
      <c r="AL24"/>
    </row>
    <row r="25" spans="1:38" x14ac:dyDescent="0.25">
      <c r="A25" s="7"/>
      <c r="B25" s="19" t="s">
        <v>19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/>
      <c r="AK25"/>
      <c r="AL25"/>
    </row>
  </sheetData>
  <mergeCells count="15">
    <mergeCell ref="A1:AM1"/>
    <mergeCell ref="A2:A3"/>
    <mergeCell ref="B2:B3"/>
    <mergeCell ref="AH2:AH3"/>
    <mergeCell ref="AI2:AI3"/>
    <mergeCell ref="AJ2:AJ3"/>
    <mergeCell ref="AK2:AK3"/>
    <mergeCell ref="AL2:AL3"/>
    <mergeCell ref="AM2:AM3"/>
    <mergeCell ref="A13:A14"/>
    <mergeCell ref="B13:B14"/>
    <mergeCell ref="AH13:AH14"/>
    <mergeCell ref="A20:A21"/>
    <mergeCell ref="B20:B21"/>
    <mergeCell ref="AH20:AH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Апрель</vt:lpstr>
      <vt:lpstr>Май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2026-05-02T06:38:22Z</dcterms:modified>
</cp:coreProperties>
</file>