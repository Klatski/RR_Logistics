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rvanzhan Izimov\Desktop\"/>
    </mc:Choice>
  </mc:AlternateContent>
  <bookViews>
    <workbookView xWindow="0" yWindow="0" windowWidth="23040" windowHeight="8388" tabRatio="500" activeTab="4"/>
  </bookViews>
  <sheets>
    <sheet name="📋 ДАШБОРД" sheetId="1" r:id="rId1"/>
    <sheet name="⚙ Настройки" sheetId="2" r:id="rId2"/>
    <sheet name="📊 ВСЕ ПРОЕКТЫ" sheetId="3" r:id="rId3"/>
    <sheet name="Апрель" sheetId="4" r:id="rId4"/>
    <sheet name="Май" sheetId="5" r:id="rId5"/>
    <sheet name="Июнь" sheetId="6" r:id="rId6"/>
    <sheet name="Июль" sheetId="7" r:id="rId7"/>
    <sheet name="Август" sheetId="8" r:id="rId8"/>
    <sheet name="Сентябрь" sheetId="9" r:id="rId9"/>
    <sheet name="Октябрь" sheetId="10" r:id="rId10"/>
    <sheet name="Ноябрь" sheetId="11" r:id="rId11"/>
    <sheet name="Декабрь" sheetId="12" r:id="rId12"/>
  </sheets>
  <calcPr calcId="162913"/>
</workbook>
</file>

<file path=xl/calcChain.xml><?xml version="1.0" encoding="utf-8"?>
<calcChain xmlns="http://schemas.openxmlformats.org/spreadsheetml/2006/main">
  <c r="AN19" i="12" l="1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AO15" i="12"/>
  <c r="AO14" i="12"/>
  <c r="AO13" i="12"/>
  <c r="AS12" i="12" s="1"/>
  <c r="AP12" i="12"/>
  <c r="AR12" i="12" s="1"/>
  <c r="AT12" i="12" s="1"/>
  <c r="AO12" i="12"/>
  <c r="AW12" i="12" s="1"/>
  <c r="AO11" i="12"/>
  <c r="AO10" i="12"/>
  <c r="AO9" i="12"/>
  <c r="AS8" i="12" s="1"/>
  <c r="AP8" i="12"/>
  <c r="AR8" i="12" s="1"/>
  <c r="AT8" i="12" s="1"/>
  <c r="AO8" i="12"/>
  <c r="AW8" i="12" s="1"/>
  <c r="AO7" i="12"/>
  <c r="AO19" i="12" s="1"/>
  <c r="AO6" i="12"/>
  <c r="AO18" i="12" s="1"/>
  <c r="AO5" i="12"/>
  <c r="AO17" i="12" s="1"/>
  <c r="AP4" i="12"/>
  <c r="AR4" i="12" s="1"/>
  <c r="AO4" i="12"/>
  <c r="AW4" i="12" s="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AN15" i="11"/>
  <c r="AN14" i="11"/>
  <c r="AN13" i="11"/>
  <c r="AR12" i="11" s="1"/>
  <c r="AP12" i="11"/>
  <c r="AO12" i="11"/>
  <c r="AQ12" i="11" s="1"/>
  <c r="AS12" i="11" s="1"/>
  <c r="AN12" i="11"/>
  <c r="AV12" i="11" s="1"/>
  <c r="AN11" i="11"/>
  <c r="AN10" i="11"/>
  <c r="AN9" i="11"/>
  <c r="AR8" i="11" s="1"/>
  <c r="AP8" i="11"/>
  <c r="AO8" i="11"/>
  <c r="AQ8" i="11" s="1"/>
  <c r="AN8" i="11"/>
  <c r="AV8" i="11" s="1"/>
  <c r="AN7" i="11"/>
  <c r="AN19" i="11" s="1"/>
  <c r="AN6" i="11"/>
  <c r="AN18" i="11" s="1"/>
  <c r="AN5" i="11"/>
  <c r="AR4" i="11" s="1"/>
  <c r="AP4" i="11"/>
  <c r="AO4" i="11"/>
  <c r="AQ4" i="11" s="1"/>
  <c r="AS4" i="11" s="1"/>
  <c r="AN4" i="11"/>
  <c r="AV4" i="11" s="1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AO15" i="10"/>
  <c r="AO14" i="10"/>
  <c r="AO13" i="10"/>
  <c r="AS12" i="10" s="1"/>
  <c r="AR12" i="10"/>
  <c r="AQ12" i="10"/>
  <c r="AP12" i="10"/>
  <c r="AO12" i="10"/>
  <c r="AW12" i="10" s="1"/>
  <c r="AO11" i="10"/>
  <c r="AO10" i="10"/>
  <c r="AO9" i="10"/>
  <c r="AS8" i="10" s="1"/>
  <c r="AR8" i="10"/>
  <c r="AQ8" i="10"/>
  <c r="AP8" i="10"/>
  <c r="AO8" i="10"/>
  <c r="AW8" i="10" s="1"/>
  <c r="AO7" i="10"/>
  <c r="AO19" i="10" s="1"/>
  <c r="AO6" i="10"/>
  <c r="AO18" i="10" s="1"/>
  <c r="AO5" i="10"/>
  <c r="AO17" i="10" s="1"/>
  <c r="AR4" i="10"/>
  <c r="AQ4" i="10"/>
  <c r="AP4" i="10"/>
  <c r="AO4" i="10"/>
  <c r="AW4" i="10" s="1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AN15" i="9"/>
  <c r="AN14" i="9"/>
  <c r="AN13" i="9"/>
  <c r="AR12" i="9"/>
  <c r="AU12" i="9" s="1"/>
  <c r="AO12" i="9"/>
  <c r="AN12" i="9"/>
  <c r="AQ12" i="9" s="1"/>
  <c r="AS12" i="9" s="1"/>
  <c r="AN11" i="9"/>
  <c r="AN10" i="9"/>
  <c r="AN9" i="9"/>
  <c r="AR8" i="9"/>
  <c r="AU8" i="9" s="1"/>
  <c r="AO8" i="9"/>
  <c r="AN8" i="9"/>
  <c r="AQ8" i="9" s="1"/>
  <c r="AS8" i="9" s="1"/>
  <c r="AN7" i="9"/>
  <c r="AN19" i="9" s="1"/>
  <c r="AN6" i="9"/>
  <c r="AN18" i="9" s="1"/>
  <c r="AN5" i="9"/>
  <c r="AR4" i="9"/>
  <c r="AU4" i="9" s="1"/>
  <c r="AT16" i="9" s="1"/>
  <c r="AO4" i="9"/>
  <c r="AN4" i="9"/>
  <c r="AQ4" i="9" s="1"/>
  <c r="AS4" i="9" s="1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AO15" i="8"/>
  <c r="AO14" i="8"/>
  <c r="AO13" i="8"/>
  <c r="AQ12" i="8" s="1"/>
  <c r="AS12" i="8"/>
  <c r="AV12" i="8" s="1"/>
  <c r="AP12" i="8"/>
  <c r="AO12" i="8"/>
  <c r="AW12" i="8" s="1"/>
  <c r="AO11" i="8"/>
  <c r="AO10" i="8"/>
  <c r="AO9" i="8"/>
  <c r="AQ8" i="8" s="1"/>
  <c r="AS8" i="8"/>
  <c r="AV8" i="8" s="1"/>
  <c r="AP8" i="8"/>
  <c r="AO8" i="8"/>
  <c r="AW8" i="8" s="1"/>
  <c r="AO7" i="8"/>
  <c r="AO6" i="8"/>
  <c r="AO5" i="8"/>
  <c r="AO17" i="8" s="1"/>
  <c r="AS4" i="8"/>
  <c r="AV4" i="8" s="1"/>
  <c r="AP4" i="8"/>
  <c r="AO4" i="8"/>
  <c r="AW4" i="8" s="1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AO15" i="7"/>
  <c r="AO14" i="7"/>
  <c r="AO13" i="7"/>
  <c r="AS12" i="7" s="1"/>
  <c r="AP12" i="7"/>
  <c r="AO12" i="7"/>
  <c r="AW12" i="7" s="1"/>
  <c r="AO11" i="7"/>
  <c r="AO10" i="7"/>
  <c r="AO9" i="7"/>
  <c r="AP8" i="7"/>
  <c r="AO8" i="7"/>
  <c r="AW8" i="7" s="1"/>
  <c r="AO7" i="7"/>
  <c r="AO19" i="7" s="1"/>
  <c r="AO6" i="7"/>
  <c r="AO18" i="7" s="1"/>
  <c r="AO5" i="7"/>
  <c r="AP4" i="7"/>
  <c r="AO4" i="7"/>
  <c r="AW4" i="7" s="1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AN15" i="6"/>
  <c r="AN14" i="6"/>
  <c r="AN13" i="6"/>
  <c r="AR12" i="6" s="1"/>
  <c r="AU12" i="6" s="1"/>
  <c r="AQ12" i="6"/>
  <c r="AP12" i="6"/>
  <c r="AO12" i="6"/>
  <c r="AN12" i="6"/>
  <c r="AV12" i="6" s="1"/>
  <c r="AN11" i="6"/>
  <c r="AN10" i="6"/>
  <c r="AN9" i="6"/>
  <c r="AR8" i="6" s="1"/>
  <c r="AU8" i="6" s="1"/>
  <c r="AQ8" i="6"/>
  <c r="AP8" i="6"/>
  <c r="AO8" i="6"/>
  <c r="AN8" i="6"/>
  <c r="AV8" i="6" s="1"/>
  <c r="AN7" i="6"/>
  <c r="AN19" i="6" s="1"/>
  <c r="AN6" i="6"/>
  <c r="AN5" i="6"/>
  <c r="AR4" i="6" s="1"/>
  <c r="AU4" i="6" s="1"/>
  <c r="AT16" i="6" s="1"/>
  <c r="AQ4" i="6"/>
  <c r="AP4" i="6"/>
  <c r="AO4" i="6"/>
  <c r="AN4" i="6"/>
  <c r="AV4" i="6" s="1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AO15" i="5"/>
  <c r="AO14" i="5"/>
  <c r="AO13" i="5"/>
  <c r="AS12" i="5"/>
  <c r="AR12" i="5"/>
  <c r="AP12" i="5"/>
  <c r="AO12" i="5"/>
  <c r="AQ12" i="5" s="1"/>
  <c r="AO11" i="5"/>
  <c r="AO10" i="5"/>
  <c r="AO9" i="5"/>
  <c r="AO17" i="5" s="1"/>
  <c r="AP8" i="5"/>
  <c r="AO8" i="5"/>
  <c r="AQ8" i="5" s="1"/>
  <c r="AO7" i="5"/>
  <c r="AO19" i="5" s="1"/>
  <c r="AO6" i="5"/>
  <c r="AO5" i="5"/>
  <c r="AW4" i="5"/>
  <c r="AV4" i="5"/>
  <c r="AS4" i="5"/>
  <c r="AP4" i="5"/>
  <c r="AO4" i="5"/>
  <c r="AQ4" i="5" s="1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AN15" i="4"/>
  <c r="AN14" i="4"/>
  <c r="AN13" i="4"/>
  <c r="AR12" i="4" s="1"/>
  <c r="AO12" i="4"/>
  <c r="AN12" i="4"/>
  <c r="AN11" i="4"/>
  <c r="AN19" i="4" s="1"/>
  <c r="AN10" i="4"/>
  <c r="AN9" i="4"/>
  <c r="AR8" i="4" s="1"/>
  <c r="C8" i="1" s="1"/>
  <c r="AO8" i="4"/>
  <c r="AN8" i="4"/>
  <c r="E9" i="3" s="1"/>
  <c r="AN7" i="4"/>
  <c r="AN6" i="4"/>
  <c r="AN5" i="4"/>
  <c r="AR4" i="4"/>
  <c r="B8" i="1" s="1"/>
  <c r="AO4" i="4"/>
  <c r="AN4" i="4"/>
  <c r="B5" i="1" s="1"/>
  <c r="V10" i="3"/>
  <c r="T10" i="3"/>
  <c r="R10" i="3"/>
  <c r="P10" i="3"/>
  <c r="N10" i="3"/>
  <c r="L10" i="3"/>
  <c r="J10" i="3"/>
  <c r="H10" i="3"/>
  <c r="U9" i="3"/>
  <c r="S9" i="3"/>
  <c r="Q9" i="3"/>
  <c r="O9" i="3"/>
  <c r="M9" i="3"/>
  <c r="K9" i="3"/>
  <c r="I9" i="3"/>
  <c r="V8" i="3"/>
  <c r="T8" i="3"/>
  <c r="R8" i="3"/>
  <c r="P8" i="3"/>
  <c r="P11" i="3" s="1"/>
  <c r="N8" i="3"/>
  <c r="L8" i="3"/>
  <c r="J8" i="3"/>
  <c r="F8" i="3"/>
  <c r="Y7" i="3"/>
  <c r="U7" i="3"/>
  <c r="S7" i="3"/>
  <c r="S11" i="3" s="1"/>
  <c r="Q7" i="3"/>
  <c r="O7" i="3"/>
  <c r="M7" i="3"/>
  <c r="K7" i="3"/>
  <c r="K11" i="3" s="1"/>
  <c r="I7" i="3"/>
  <c r="G7" i="3"/>
  <c r="E7" i="3"/>
  <c r="V6" i="3"/>
  <c r="V11" i="3" s="1"/>
  <c r="T6" i="3"/>
  <c r="T11" i="3" s="1"/>
  <c r="R6" i="3"/>
  <c r="R11" i="3" s="1"/>
  <c r="P6" i="3"/>
  <c r="N6" i="3"/>
  <c r="N11" i="3" s="1"/>
  <c r="L6" i="3"/>
  <c r="L11" i="3" s="1"/>
  <c r="J6" i="3"/>
  <c r="J11" i="3" s="1"/>
  <c r="H6" i="3"/>
  <c r="F6" i="3"/>
  <c r="U5" i="3"/>
  <c r="U11" i="3" s="1"/>
  <c r="S5" i="3"/>
  <c r="Q5" i="3"/>
  <c r="Q11" i="3" s="1"/>
  <c r="O5" i="3"/>
  <c r="O11" i="3" s="1"/>
  <c r="M5" i="3"/>
  <c r="M11" i="3" s="1"/>
  <c r="K5" i="3"/>
  <c r="I5" i="3"/>
  <c r="I11" i="3" s="1"/>
  <c r="D15" i="1"/>
  <c r="C15" i="1"/>
  <c r="B15" i="1"/>
  <c r="D13" i="1"/>
  <c r="C13" i="1"/>
  <c r="B13" i="1"/>
  <c r="E13" i="1" s="1"/>
  <c r="B6" i="1"/>
  <c r="C5" i="1"/>
  <c r="AU12" i="5" l="1"/>
  <c r="AS8" i="5"/>
  <c r="AV8" i="5" s="1"/>
  <c r="E5" i="3"/>
  <c r="E11" i="3" s="1"/>
  <c r="F10" i="3"/>
  <c r="C6" i="1"/>
  <c r="F11" i="3"/>
  <c r="AO17" i="7"/>
  <c r="AS4" i="7"/>
  <c r="AQ4" i="7"/>
  <c r="AU8" i="10"/>
  <c r="AV8" i="10"/>
  <c r="H8" i="3"/>
  <c r="H11" i="3" s="1"/>
  <c r="AQ4" i="4"/>
  <c r="AN16" i="4"/>
  <c r="AQ8" i="4"/>
  <c r="AQ12" i="4"/>
  <c r="D5" i="1"/>
  <c r="E5" i="1" s="1"/>
  <c r="AR4" i="5"/>
  <c r="AT4" i="5" s="1"/>
  <c r="AV12" i="5"/>
  <c r="AO16" i="5"/>
  <c r="AN18" i="6"/>
  <c r="W7" i="3"/>
  <c r="Z7" i="3" s="1"/>
  <c r="AV8" i="12"/>
  <c r="AU8" i="12"/>
  <c r="AU8" i="11"/>
  <c r="AT8" i="11"/>
  <c r="E15" i="1"/>
  <c r="G5" i="3"/>
  <c r="G11" i="3" s="1"/>
  <c r="W5" i="3"/>
  <c r="Z5" i="3" s="1"/>
  <c r="X7" i="3"/>
  <c r="G9" i="3"/>
  <c r="W9" i="3"/>
  <c r="AN17" i="4"/>
  <c r="AP4" i="4"/>
  <c r="X5" i="3"/>
  <c r="AP8" i="4"/>
  <c r="X9" i="3"/>
  <c r="AP12" i="4"/>
  <c r="D6" i="1"/>
  <c r="AU4" i="5"/>
  <c r="AR8" i="5"/>
  <c r="AT8" i="5" s="1"/>
  <c r="AW12" i="5"/>
  <c r="AS4" i="6"/>
  <c r="AS8" i="6"/>
  <c r="AS12" i="6"/>
  <c r="AS8" i="7"/>
  <c r="AQ8" i="7"/>
  <c r="AT12" i="10"/>
  <c r="AU4" i="11"/>
  <c r="AT16" i="11" s="1"/>
  <c r="AT4" i="11"/>
  <c r="AS8" i="11"/>
  <c r="AU12" i="11"/>
  <c r="AT12" i="11"/>
  <c r="AV12" i="12"/>
  <c r="AU12" i="12"/>
  <c r="AU4" i="4"/>
  <c r="AT4" i="4"/>
  <c r="B10" i="1" s="1"/>
  <c r="AU8" i="4"/>
  <c r="AT8" i="4"/>
  <c r="C10" i="1" s="1"/>
  <c r="AU12" i="4"/>
  <c r="D11" i="1" s="1"/>
  <c r="D8" i="1"/>
  <c r="E8" i="1" s="1"/>
  <c r="AT12" i="5"/>
  <c r="AT4" i="6"/>
  <c r="AT8" i="6"/>
  <c r="AT12" i="6"/>
  <c r="AV12" i="7"/>
  <c r="AT8" i="10"/>
  <c r="AU12" i="10"/>
  <c r="AV12" i="10"/>
  <c r="AT4" i="12"/>
  <c r="AV4" i="9"/>
  <c r="AV8" i="9"/>
  <c r="AV12" i="9"/>
  <c r="AN17" i="11"/>
  <c r="AQ12" i="7"/>
  <c r="AR4" i="7"/>
  <c r="AT4" i="7" s="1"/>
  <c r="AR8" i="7"/>
  <c r="AR12" i="7"/>
  <c r="AT12" i="7" s="1"/>
  <c r="AO16" i="7"/>
  <c r="AQ4" i="8"/>
  <c r="AU8" i="8"/>
  <c r="AU12" i="8"/>
  <c r="AS4" i="10"/>
  <c r="AT4" i="10" s="1"/>
  <c r="AQ4" i="12"/>
  <c r="AQ8" i="12"/>
  <c r="AQ12" i="12"/>
  <c r="AR4" i="8"/>
  <c r="AT4" i="8" s="1"/>
  <c r="AR8" i="8"/>
  <c r="AT8" i="8" s="1"/>
  <c r="AR12" i="8"/>
  <c r="AT12" i="8" s="1"/>
  <c r="AO16" i="8"/>
  <c r="AP4" i="9"/>
  <c r="AT4" i="9"/>
  <c r="AP8" i="9"/>
  <c r="AT8" i="9"/>
  <c r="AP12" i="9"/>
  <c r="AT12" i="9"/>
  <c r="AN16" i="9"/>
  <c r="AO16" i="12"/>
  <c r="AS4" i="12"/>
  <c r="E6" i="1" l="1"/>
  <c r="AV8" i="4"/>
  <c r="C12" i="1" s="1"/>
  <c r="B7" i="1"/>
  <c r="AS4" i="4"/>
  <c r="B9" i="1" s="1"/>
  <c r="C11" i="1"/>
  <c r="AV8" i="7"/>
  <c r="Y9" i="3" s="1"/>
  <c r="AU8" i="7"/>
  <c r="D7" i="1"/>
  <c r="AS12" i="4"/>
  <c r="D9" i="1" s="1"/>
  <c r="AU12" i="7"/>
  <c r="AT12" i="4"/>
  <c r="AU4" i="8"/>
  <c r="AU16" i="8" s="1"/>
  <c r="AT8" i="7"/>
  <c r="AT16" i="4"/>
  <c r="B11" i="1"/>
  <c r="Z9" i="3"/>
  <c r="AS8" i="4"/>
  <c r="C9" i="1" s="1"/>
  <c r="C7" i="1"/>
  <c r="AV4" i="12"/>
  <c r="AU4" i="12"/>
  <c r="AU16" i="12" s="1"/>
  <c r="AU4" i="10"/>
  <c r="AU16" i="10" s="1"/>
  <c r="AV4" i="10"/>
  <c r="AU8" i="5"/>
  <c r="AV4" i="4"/>
  <c r="B12" i="1" s="1"/>
  <c r="AV4" i="7"/>
  <c r="Y5" i="3" s="1"/>
  <c r="AU4" i="7"/>
  <c r="AU16" i="5" l="1"/>
  <c r="AW8" i="5"/>
  <c r="D10" i="1"/>
  <c r="E10" i="1" s="1"/>
  <c r="AV12" i="4"/>
  <c r="D12" i="1" s="1"/>
  <c r="E9" i="1"/>
  <c r="E7" i="1"/>
  <c r="E12" i="1"/>
  <c r="AU16" i="7"/>
  <c r="E11" i="1"/>
</calcChain>
</file>

<file path=xl/sharedStrings.xml><?xml version="1.0" encoding="utf-8"?>
<sst xmlns="http://schemas.openxmlformats.org/spreadsheetml/2006/main" count="856" uniqueCount="315">
  <si>
    <t>📋  ДАШБОРД РУКОВОДИТЕЛЯ  |  АО «ХАБАР»  |  2026</t>
  </si>
  <si>
    <t>Показатель</t>
  </si>
  <si>
    <t>917CT02</t>
  </si>
  <si>
    <t>684DC02</t>
  </si>
  <si>
    <t>659DC02</t>
  </si>
  <si>
    <t>ПО ПАРКУ</t>
  </si>
  <si>
    <t>── АПРЕЛЬ 2026 ──────────────────</t>
  </si>
  <si>
    <t>📏 Общий пробег (км)</t>
  </si>
  <si>
    <t>⛽ Заправлено (л)</t>
  </si>
  <si>
    <t>📐 Расход по норме (л)</t>
  </si>
  <si>
    <t>🔥 Факт расход (л)</t>
  </si>
  <si>
    <t>⚖️ Разница норма/факт (л)</t>
  </si>
  <si>
    <t>📊 % отклонения от нормы</t>
  </si>
  <si>
    <t>💰 Стоимость топлива (₸)</t>
  </si>
  <si>
    <t>✅ СТАТУС</t>
  </si>
  <si>
    <t>🔧 ТО (₸)</t>
  </si>
  <si>
    <t>💡 Данные обновляются автоматически при заполнении водителями через Telegram-бот</t>
  </si>
  <si>
    <t>🚿 Мойка (₸)</t>
  </si>
  <si>
    <t>⚙  НАСТРОЙКИ СИСТЕМЫ  |  АО «ХАБАР»  |  2026</t>
  </si>
  <si>
    <t>Параметр</t>
  </si>
  <si>
    <t>Машина 1 (917CT02)</t>
  </si>
  <si>
    <t>Машина 2 (684DC02)</t>
  </si>
  <si>
    <t>Машина 3 (659DC02)</t>
  </si>
  <si>
    <t>🚗 Гос. номер (ГРНЗ)</t>
  </si>
  <si>
    <t>🏢 Заказчик</t>
  </si>
  <si>
    <t>АО "ХАБАР"</t>
  </si>
  <si>
    <t>⛽ Поставщик ГСМ</t>
  </si>
  <si>
    <t>Helios</t>
  </si>
  <si>
    <t>💳 Номер карты ГСМ</t>
  </si>
  <si>
    <t>733610007336105-6077</t>
  </si>
  <si>
    <t>733610007336105-6069</t>
  </si>
  <si>
    <t>733610007336105-6051</t>
  </si>
  <si>
    <t>🔢 Объём бака (л)</t>
  </si>
  <si>
    <t>📏 Норма расхода (л/100км)</t>
  </si>
  <si>
    <t>⛽ Цена ГСМ (₸/л)</t>
  </si>
  <si>
    <t>⚠️ Допуст. перерасход (%)</t>
  </si>
  <si>
    <t>🔔 Не снижаемый остаток (л)</t>
  </si>
  <si>
    <t>💡 Жёлтые ячейки — вводите данные. Синий текст — ввод водителя. Чёрный — формула. Зелёный — ссылка на другой лист.</t>
  </si>
  <si>
    <t>СВОДНЫЙ ГОДОВОЙ ОТЧЁТ  |  АО «ХАБАР»  |  2026</t>
  </si>
  <si>
    <t>№</t>
  </si>
  <si>
    <t>Наим. ТС</t>
  </si>
  <si>
    <t>ГРНЗ</t>
  </si>
  <si>
    <t>Тип</t>
  </si>
  <si>
    <t>Апре</t>
  </si>
  <si>
    <t>Май</t>
  </si>
  <si>
    <t>Июнь</t>
  </si>
  <si>
    <t>Июль</t>
  </si>
  <si>
    <t>Авгу</t>
  </si>
  <si>
    <t>Сент</t>
  </si>
  <si>
    <t>Октя</t>
  </si>
  <si>
    <t>Нояб</t>
  </si>
  <si>
    <t>Дека</t>
  </si>
  <si>
    <t>ИТОГО
Пробег</t>
  </si>
  <si>
    <t>ИТОГО
ГСМ (л)</t>
  </si>
  <si>
    <t>ИТОГО
₸</t>
  </si>
  <si>
    <t>СТАТУС</t>
  </si>
  <si>
    <t>Пробег</t>
  </si>
  <si>
    <t>ГСМ (л)</t>
  </si>
  <si>
    <t>Toyota HIACE</t>
  </si>
  <si>
    <t>КМ</t>
  </si>
  <si>
    <t>ГСМ</t>
  </si>
  <si>
    <t>ИТОГО ПО ПАРКУ</t>
  </si>
  <si>
    <t>УЧЁТ ЗАПРАВКИ ГСМ И ПРОБЕГА  |  АПРЕЛЬ 2026  |  АО «ХАБАР»  |  Поставщик: Helios</t>
  </si>
  <si>
    <t>ИНФОРМАЦИЯ О ТС</t>
  </si>
  <si>
    <t>ЕЖЕДНЕВНЫЙ ПРОБЕГ И ЗАПРАВКА ГСМ</t>
  </si>
  <si>
    <t>РАСЧЁТ И КОНТРОЛЬ</t>
  </si>
  <si>
    <t>Заказчик</t>
  </si>
  <si>
    <t>Поставщик</t>
  </si>
  <si>
    <t>Номер карты ГСМ</t>
  </si>
  <si>
    <t>Тип
топлива</t>
  </si>
  <si>
    <t>Бак
(л)</t>
  </si>
  <si>
    <t>Остаток
(л)</t>
  </si>
  <si>
    <t>1
Ср</t>
  </si>
  <si>
    <t>2
Чт</t>
  </si>
  <si>
    <t>3
Пт</t>
  </si>
  <si>
    <t>4
Сб</t>
  </si>
  <si>
    <t>5
Вс</t>
  </si>
  <si>
    <t>6
Пн</t>
  </si>
  <si>
    <t>7
Вт</t>
  </si>
  <si>
    <t>8
Ср</t>
  </si>
  <si>
    <t>9
Чт</t>
  </si>
  <si>
    <t>10
Пт</t>
  </si>
  <si>
    <t>11
Сб</t>
  </si>
  <si>
    <t>12
Вс</t>
  </si>
  <si>
    <t>13
Пн</t>
  </si>
  <si>
    <t>14
Вт</t>
  </si>
  <si>
    <t>15
Ср</t>
  </si>
  <si>
    <t>16
Чт</t>
  </si>
  <si>
    <t>17
Пт</t>
  </si>
  <si>
    <t>18
Сб</t>
  </si>
  <si>
    <t>19
Вс</t>
  </si>
  <si>
    <t>20
Пн</t>
  </si>
  <si>
    <t>21
Вт</t>
  </si>
  <si>
    <t>22
Ср</t>
  </si>
  <si>
    <t>23
Чт</t>
  </si>
  <si>
    <t>24
Пт</t>
  </si>
  <si>
    <t>25
Сб</t>
  </si>
  <si>
    <t>26
Вс</t>
  </si>
  <si>
    <t>27
Пн</t>
  </si>
  <si>
    <t>28
Вт</t>
  </si>
  <si>
    <t>29
Ср</t>
  </si>
  <si>
    <t>30
Чт</t>
  </si>
  <si>
    <t>ИТОГО
Пробег/ГСМ</t>
  </si>
  <si>
    <t>Норма
л/100км</t>
  </si>
  <si>
    <t>Факт
л/100км</t>
  </si>
  <si>
    <t>Расход
по норме (л)</t>
  </si>
  <si>
    <t>Факт
расход (л)</t>
  </si>
  <si>
    <t>Разница
(л)</t>
  </si>
  <si>
    <t>% от
нормы</t>
  </si>
  <si>
    <t>Стоим.
факт (₸)</t>
  </si>
  <si>
    <t>1</t>
  </si>
  <si>
    <t>АИ-92</t>
  </si>
  <si>
    <t>2</t>
  </si>
  <si>
    <t>3</t>
  </si>
  <si>
    <t>ИТОГО ПРОБЕГ</t>
  </si>
  <si>
    <t>ИТОГО ₸:</t>
  </si>
  <si>
    <t>ИТОГО ГСМ (л)</t>
  </si>
  <si>
    <t>🔧 ИТОГО ТО (₸)</t>
  </si>
  <si>
    <t>🚿 ИТОГО МОЙКА (₸)</t>
  </si>
  <si>
    <t>УЧЁТ ЗАПРАВКИ ГСМ И ПРОБЕГА  |  МАЙ 2026  |  АО «ХАБАР»  |  Поставщик: Helios</t>
  </si>
  <si>
    <t>1
Пт</t>
  </si>
  <si>
    <t>2
Сб</t>
  </si>
  <si>
    <t>3
Вс</t>
  </si>
  <si>
    <t>4
Пн</t>
  </si>
  <si>
    <t>5
Вт</t>
  </si>
  <si>
    <t>6
Ср</t>
  </si>
  <si>
    <t>7
Чт</t>
  </si>
  <si>
    <t>8
Пт</t>
  </si>
  <si>
    <t>9
Сб</t>
  </si>
  <si>
    <t>10
Вс</t>
  </si>
  <si>
    <t>11
Пн</t>
  </si>
  <si>
    <t>12
Вт</t>
  </si>
  <si>
    <t>13
Ср</t>
  </si>
  <si>
    <t>14
Чт</t>
  </si>
  <si>
    <t>15
Пт</t>
  </si>
  <si>
    <t>16
Сб</t>
  </si>
  <si>
    <t>17
Вс</t>
  </si>
  <si>
    <t>18
Пн</t>
  </si>
  <si>
    <t>19
Вт</t>
  </si>
  <si>
    <t>20
Ср</t>
  </si>
  <si>
    <t>21
Чт</t>
  </si>
  <si>
    <t>22
Пт</t>
  </si>
  <si>
    <t>23
Сб</t>
  </si>
  <si>
    <t>24
Вс</t>
  </si>
  <si>
    <t>25
Пн</t>
  </si>
  <si>
    <t>26
Вт</t>
  </si>
  <si>
    <t>27
Ср</t>
  </si>
  <si>
    <t>28
Чт</t>
  </si>
  <si>
    <t>29
Пт</t>
  </si>
  <si>
    <t>30
Сб</t>
  </si>
  <si>
    <t>31
Вс</t>
  </si>
  <si>
    <t>УЧЁТ ЗАПРАВКИ ГСМ И ПРОБЕГА  |  ИЮНЬ 2026  |  АО «ХАБАР»  |  Поставщик: Helios</t>
  </si>
  <si>
    <t>1
Пн</t>
  </si>
  <si>
    <t>2
Вт</t>
  </si>
  <si>
    <t>3
Ср</t>
  </si>
  <si>
    <t>4
Чт</t>
  </si>
  <si>
    <t>5
Пт</t>
  </si>
  <si>
    <t>6
Сб</t>
  </si>
  <si>
    <t>7
Вс</t>
  </si>
  <si>
    <t>8
Пн</t>
  </si>
  <si>
    <t>9
Вт</t>
  </si>
  <si>
    <t>10
Ср</t>
  </si>
  <si>
    <t>11
Чт</t>
  </si>
  <si>
    <t>12
Пт</t>
  </si>
  <si>
    <t>13
Сб</t>
  </si>
  <si>
    <t>14
Вс</t>
  </si>
  <si>
    <t>15
Пн</t>
  </si>
  <si>
    <t>16
Вт</t>
  </si>
  <si>
    <t>17
Ср</t>
  </si>
  <si>
    <t>18
Чт</t>
  </si>
  <si>
    <t>19
Пт</t>
  </si>
  <si>
    <t>20
Сб</t>
  </si>
  <si>
    <t>21
Вс</t>
  </si>
  <si>
    <t>22
Пн</t>
  </si>
  <si>
    <t>23
Вт</t>
  </si>
  <si>
    <t>24
Ср</t>
  </si>
  <si>
    <t>25
Чт</t>
  </si>
  <si>
    <t>26
Пт</t>
  </si>
  <si>
    <t>27
Сб</t>
  </si>
  <si>
    <t>28
Вс</t>
  </si>
  <si>
    <t>29
Пн</t>
  </si>
  <si>
    <t>30
Вт</t>
  </si>
  <si>
    <t>УЧЁТ ЗАПРАВКИ ГСМ И ПРОБЕГА  |  ИЮЛЬ 2026  |  АО «ХАБАР»  |  Поставщик: Helios</t>
  </si>
  <si>
    <t>31
Пт</t>
  </si>
  <si>
    <t>УЧЁТ ЗАПРАВКИ ГСМ И ПРОБЕГА  |  АВГУСТ 2026  |  АО «ХАБАР»  |  Поставщик: Helios</t>
  </si>
  <si>
    <t>1
Сб</t>
  </si>
  <si>
    <t>2
Вс</t>
  </si>
  <si>
    <t>3
Пн</t>
  </si>
  <si>
    <t>4
Вт</t>
  </si>
  <si>
    <t>5
Ср</t>
  </si>
  <si>
    <t>6
Чт</t>
  </si>
  <si>
    <t>7
Пт</t>
  </si>
  <si>
    <t>8
Сб</t>
  </si>
  <si>
    <t>9
Вс</t>
  </si>
  <si>
    <t>10
Пн</t>
  </si>
  <si>
    <t>11
Вт</t>
  </si>
  <si>
    <t>12
Ср</t>
  </si>
  <si>
    <t>13
Чт</t>
  </si>
  <si>
    <t>14
Пт</t>
  </si>
  <si>
    <t>15
Сб</t>
  </si>
  <si>
    <t>16
Вс</t>
  </si>
  <si>
    <t>17
Пн</t>
  </si>
  <si>
    <t>18
Вт</t>
  </si>
  <si>
    <t>19
Ср</t>
  </si>
  <si>
    <t>20
Чт</t>
  </si>
  <si>
    <t>21
Пт</t>
  </si>
  <si>
    <t>22
Сб</t>
  </si>
  <si>
    <t>23
Вс</t>
  </si>
  <si>
    <t>24
Пн</t>
  </si>
  <si>
    <t>25
Вт</t>
  </si>
  <si>
    <t>26
Ср</t>
  </si>
  <si>
    <t>27
Чт</t>
  </si>
  <si>
    <t>28
Пт</t>
  </si>
  <si>
    <t>29
Сб</t>
  </si>
  <si>
    <t>30
Вс</t>
  </si>
  <si>
    <t>31
Пн</t>
  </si>
  <si>
    <t>УЧЁТ ЗАПРАВКИ ГСМ И ПРОБЕГА  |  СЕНТЯБРЬ 2026  |  АО «ХАБАР»  |  Поставщик: Helios</t>
  </si>
  <si>
    <t>1
Вт</t>
  </si>
  <si>
    <t>2
Ср</t>
  </si>
  <si>
    <t>3
Чт</t>
  </si>
  <si>
    <t>4
Пт</t>
  </si>
  <si>
    <t>5
Сб</t>
  </si>
  <si>
    <t>6
Вс</t>
  </si>
  <si>
    <t>7
Пн</t>
  </si>
  <si>
    <t>8
Вт</t>
  </si>
  <si>
    <t>9
Ср</t>
  </si>
  <si>
    <t>10
Чт</t>
  </si>
  <si>
    <t>11
Пт</t>
  </si>
  <si>
    <t>12
Сб</t>
  </si>
  <si>
    <t>13
Вс</t>
  </si>
  <si>
    <t>14
Пн</t>
  </si>
  <si>
    <t>15
Вт</t>
  </si>
  <si>
    <t>16
Ср</t>
  </si>
  <si>
    <t>17
Чт</t>
  </si>
  <si>
    <t>18
Пт</t>
  </si>
  <si>
    <t>19
Сб</t>
  </si>
  <si>
    <t>20
Вс</t>
  </si>
  <si>
    <t>21
Пн</t>
  </si>
  <si>
    <t>22
Вт</t>
  </si>
  <si>
    <t>23
Ср</t>
  </si>
  <si>
    <t>24
Чт</t>
  </si>
  <si>
    <t>25
Пт</t>
  </si>
  <si>
    <t>26
Сб</t>
  </si>
  <si>
    <t>27
Вс</t>
  </si>
  <si>
    <t>28
Пн</t>
  </si>
  <si>
    <t>29
Вт</t>
  </si>
  <si>
    <t>30
Ср</t>
  </si>
  <si>
    <t>УЧЁТ ЗАПРАВКИ ГСМ И ПРОБЕГА  |  ОКТЯБРЬ 2026  |  АО «ХАБАР»  |  Поставщик: Helios</t>
  </si>
  <si>
    <t>1
Чт</t>
  </si>
  <si>
    <t>2
Пт</t>
  </si>
  <si>
    <t>3
Сб</t>
  </si>
  <si>
    <t>4
Вс</t>
  </si>
  <si>
    <t>5
Пн</t>
  </si>
  <si>
    <t>6
Вт</t>
  </si>
  <si>
    <t>7
Ср</t>
  </si>
  <si>
    <t>8
Чт</t>
  </si>
  <si>
    <t>9
Пт</t>
  </si>
  <si>
    <t>10
Сб</t>
  </si>
  <si>
    <t>11
Вс</t>
  </si>
  <si>
    <t>12
Пн</t>
  </si>
  <si>
    <t>13
Вт</t>
  </si>
  <si>
    <t>14
Ср</t>
  </si>
  <si>
    <t>15
Чт</t>
  </si>
  <si>
    <t>16
Пт</t>
  </si>
  <si>
    <t>17
Сб</t>
  </si>
  <si>
    <t>18
Вс</t>
  </si>
  <si>
    <t>19
Пн</t>
  </si>
  <si>
    <t>20
Вт</t>
  </si>
  <si>
    <t>21
Ср</t>
  </si>
  <si>
    <t>22
Чт</t>
  </si>
  <si>
    <t>23
Пт</t>
  </si>
  <si>
    <t>24
Сб</t>
  </si>
  <si>
    <t>25
Вс</t>
  </si>
  <si>
    <t>26
Пн</t>
  </si>
  <si>
    <t>27
Вт</t>
  </si>
  <si>
    <t>28
Ср</t>
  </si>
  <si>
    <t>29
Чт</t>
  </si>
  <si>
    <t>30
Пт</t>
  </si>
  <si>
    <t>31
Сб</t>
  </si>
  <si>
    <t>УЧЁТ ЗАПРАВКИ ГСМ И ПРОБЕГА  |  НОЯБРЬ 2026  |  АО «ХАБАР»  |  Поставщик: Helios</t>
  </si>
  <si>
    <t>1
Вс</t>
  </si>
  <si>
    <t>2
Пн</t>
  </si>
  <si>
    <t>3
Вт</t>
  </si>
  <si>
    <t>4
Ср</t>
  </si>
  <si>
    <t>5
Чт</t>
  </si>
  <si>
    <t>6
Пт</t>
  </si>
  <si>
    <t>7
Сб</t>
  </si>
  <si>
    <t>8
Вс</t>
  </si>
  <si>
    <t>9
Пн</t>
  </si>
  <si>
    <t>10
Вт</t>
  </si>
  <si>
    <t>11
Ср</t>
  </si>
  <si>
    <t>12
Чт</t>
  </si>
  <si>
    <t>13
Пт</t>
  </si>
  <si>
    <t>14
Сб</t>
  </si>
  <si>
    <t>15
Вс</t>
  </si>
  <si>
    <t>16
Пн</t>
  </si>
  <si>
    <t>17
Вт</t>
  </si>
  <si>
    <t>18
Ср</t>
  </si>
  <si>
    <t>19
Чт</t>
  </si>
  <si>
    <t>20
Пт</t>
  </si>
  <si>
    <t>21
Сб</t>
  </si>
  <si>
    <t>22
Вс</t>
  </si>
  <si>
    <t>23
Пн</t>
  </si>
  <si>
    <t>24
Вт</t>
  </si>
  <si>
    <t>25
Ср</t>
  </si>
  <si>
    <t>26
Чт</t>
  </si>
  <si>
    <t>27
Пт</t>
  </si>
  <si>
    <t>28
Сб</t>
  </si>
  <si>
    <t>29
Вс</t>
  </si>
  <si>
    <t>30
Пн</t>
  </si>
  <si>
    <t>УЧЁТ ЗАПРАВКИ ГСМ И ПРОБЕГА  |  ДЕКАБРЬ 2026  |  АО «ХАБАР»  |  Поставщик: Helios</t>
  </si>
  <si>
    <t>31
Чт</t>
  </si>
  <si>
    <t>🔧 ТО (₸)  🚿 МОЙКА (₸)</t>
  </si>
  <si>
    <t>🔧 ТО (₸)    🚿 МОЙКА (₸)</t>
  </si>
  <si>
    <t>42.38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</si>
</sst>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#,##0&quot; ₸&quot;"/>
    <numFmt numFmtId="166" formatCode="#,##0.##"/>
  </numFmts>
  <fonts count="33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B050"/>
      <name val="Arial"/>
      <charset val="1"/>
    </font>
    <font>
      <b/>
      <sz val="10"/>
      <color rgb="FF000000"/>
      <name val="Arial"/>
      <charset val="1"/>
    </font>
    <font>
      <i/>
      <sz val="9"/>
      <color rgb="FF595959"/>
      <name val="Arial"/>
      <charset val="1"/>
    </font>
    <font>
      <sz val="10"/>
      <color rgb="FF0070C0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00B050"/>
      <name val="Arial"/>
      <charset val="1"/>
    </font>
    <font>
      <b/>
      <sz val="9"/>
      <color rgb="FFC55A11"/>
      <name val="Arial"/>
      <charset val="1"/>
    </font>
    <font>
      <b/>
      <sz val="12"/>
      <color rgb="FFFFFFFF"/>
      <name val="Arial"/>
      <charset val="1"/>
    </font>
    <font>
      <b/>
      <sz val="8"/>
      <color rgb="FFFFFFFF"/>
      <name val="Arial"/>
      <charset val="1"/>
    </font>
    <font>
      <b/>
      <sz val="8"/>
      <color rgb="FFFFD700"/>
      <name val="Arial"/>
      <charset val="1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C55A11"/>
      <name val="Arial"/>
    </font>
    <font>
      <sz val="9"/>
      <color rgb="FF0070C0"/>
      <name val="Arial"/>
    </font>
    <font>
      <sz val="9"/>
      <color rgb="FFC55A11"/>
      <name val="Arial"/>
    </font>
    <font>
      <b/>
      <sz val="9"/>
      <color rgb="FFFFFFFF"/>
      <name val="Arial"/>
    </font>
    <font>
      <sz val="9"/>
      <color rgb="FFFFFFFF"/>
      <name val="Arial"/>
    </font>
    <font>
      <b/>
      <sz val="9"/>
      <color rgb="FF375623"/>
      <name val="Arial"/>
    </font>
    <font>
      <b/>
      <sz val="9"/>
      <color rgb="FF7C3AED"/>
      <name val="Arial"/>
    </font>
    <font>
      <sz val="9"/>
      <color rgb="FF22C55E"/>
      <name val="Arial"/>
    </font>
    <font>
      <sz val="9"/>
      <color rgb="FF0369A1"/>
      <name val="Arial"/>
    </font>
    <font>
      <b/>
      <sz val="10"/>
      <color rgb="FF7C3AED"/>
      <name val="Arial"/>
    </font>
    <font>
      <b/>
      <sz val="10"/>
      <color rgb="FF0369A1"/>
      <name val="Arial"/>
    </font>
    <font>
      <b/>
      <sz val="10"/>
      <color rgb="FFFFFFFF"/>
      <name val="Arial"/>
    </font>
    <font>
      <b/>
      <sz val="10"/>
      <color rgb="FF375623"/>
      <name val="Arial"/>
    </font>
    <font>
      <b/>
      <sz val="9"/>
      <name val="Arial"/>
    </font>
    <font>
      <b/>
      <sz val="9"/>
      <color rgb="FF0369A1"/>
      <name val="Arial"/>
    </font>
  </fonts>
  <fills count="2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70C0"/>
      </patternFill>
    </fill>
    <fill>
      <patternFill patternType="solid">
        <fgColor rgb="FFF2F2F2"/>
        <bgColor rgb="FFE2EFDA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FACD"/>
        <bgColor rgb="FFFFF2CC"/>
      </patternFill>
    </fill>
    <fill>
      <patternFill patternType="solid">
        <fgColor rgb="FFFFF2CC"/>
        <bgColor rgb="FFFFFACD"/>
      </patternFill>
    </fill>
    <fill>
      <patternFill patternType="solid">
        <fgColor rgb="FF375623"/>
        <bgColor rgb="FF595959"/>
      </patternFill>
    </fill>
    <fill>
      <patternFill patternType="solid">
        <fgColor rgb="FFC55A11"/>
        <bgColor rgb="FF8B4513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8B4513"/>
        <bgColor rgb="FF993366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ACD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3CD"/>
      </patternFill>
    </fill>
    <fill>
      <patternFill patternType="solid">
        <fgColor rgb="FFD1ECF1"/>
      </patternFill>
    </fill>
    <fill>
      <patternFill patternType="solid">
        <fgColor rgb="FFFDE68A"/>
      </patternFill>
    </fill>
    <fill>
      <patternFill patternType="solid">
        <fgColor rgb="FFBEE3F8"/>
      </patternFill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1F7A8C"/>
      </patternFill>
    </fill>
    <fill>
      <patternFill patternType="solid">
        <fgColor rgb="FF2E86AB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0" borderId="1" xfId="0" applyBorder="1"/>
    <xf numFmtId="3" fontId="7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10" fillId="0" borderId="1" xfId="0" applyFont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3" fontId="10" fillId="6" borderId="1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5" fontId="10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164" fontId="11" fillId="11" borderId="1" xfId="0" applyNumberFormat="1" applyFont="1" applyFill="1" applyBorder="1" applyAlignment="1">
      <alignment horizontal="center" vertical="center"/>
    </xf>
    <xf numFmtId="3" fontId="11" fillId="12" borderId="1" xfId="0" applyNumberFormat="1" applyFont="1" applyFill="1" applyBorder="1" applyAlignment="1">
      <alignment horizontal="center" vertical="center"/>
    </xf>
    <xf numFmtId="0" fontId="0" fillId="12" borderId="1" xfId="0" applyFill="1" applyBorder="1"/>
    <xf numFmtId="3" fontId="8" fillId="3" borderId="1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6" fillId="14" borderId="8" xfId="0" applyFont="1" applyFill="1" applyBorder="1" applyAlignment="1">
      <alignment horizontal="center" vertical="center"/>
    </xf>
    <xf numFmtId="3" fontId="19" fillId="16" borderId="8" xfId="0" applyNumberFormat="1" applyFont="1" applyFill="1" applyBorder="1" applyAlignment="1">
      <alignment horizontal="center" vertical="center"/>
    </xf>
    <xf numFmtId="3" fontId="21" fillId="18" borderId="8" xfId="0" applyNumberFormat="1" applyFont="1" applyFill="1" applyBorder="1" applyAlignment="1">
      <alignment horizontal="center" vertical="center"/>
    </xf>
    <xf numFmtId="3" fontId="22" fillId="18" borderId="8" xfId="0" applyNumberFormat="1" applyFont="1" applyFill="1" applyBorder="1" applyAlignment="1">
      <alignment horizontal="center" vertical="center"/>
    </xf>
    <xf numFmtId="4" fontId="22" fillId="18" borderId="8" xfId="0" applyNumberFormat="1" applyFont="1" applyFill="1" applyBorder="1" applyAlignment="1">
      <alignment horizontal="center" vertical="center"/>
    </xf>
    <xf numFmtId="164" fontId="22" fillId="18" borderId="8" xfId="0" applyNumberFormat="1" applyFont="1" applyFill="1" applyBorder="1" applyAlignment="1">
      <alignment horizontal="center" vertical="center"/>
    </xf>
    <xf numFmtId="0" fontId="23" fillId="19" borderId="8" xfId="0" applyFont="1" applyFill="1" applyBorder="1" applyAlignment="1">
      <alignment horizontal="center" vertical="center"/>
    </xf>
    <xf numFmtId="0" fontId="18" fillId="15" borderId="8" xfId="0" applyFont="1" applyFill="1" applyBorder="1" applyAlignment="1">
      <alignment horizontal="center" vertical="center"/>
    </xf>
    <xf numFmtId="166" fontId="20" fillId="17" borderId="8" xfId="0" applyNumberFormat="1" applyFont="1" applyFill="1" applyBorder="1" applyAlignment="1">
      <alignment horizontal="center" vertical="center"/>
    </xf>
    <xf numFmtId="4" fontId="21" fillId="18" borderId="8" xfId="0" applyNumberFormat="1" applyFont="1" applyFill="1" applyBorder="1" applyAlignment="1">
      <alignment horizontal="center" vertical="center"/>
    </xf>
    <xf numFmtId="3" fontId="25" fillId="20" borderId="8" xfId="0" applyNumberFormat="1" applyFont="1" applyFill="1" applyBorder="1" applyAlignment="1">
      <alignment horizontal="center" vertical="center"/>
    </xf>
    <xf numFmtId="3" fontId="27" fillId="22" borderId="8" xfId="0" applyNumberFormat="1" applyFont="1" applyFill="1" applyBorder="1" applyAlignment="1">
      <alignment horizontal="center" vertical="center"/>
    </xf>
    <xf numFmtId="3" fontId="26" fillId="21" borderId="8" xfId="0" applyNumberFormat="1" applyFont="1" applyFill="1" applyBorder="1" applyAlignment="1">
      <alignment horizontal="center" vertical="center"/>
    </xf>
    <xf numFmtId="3" fontId="28" fillId="23" borderId="8" xfId="0" applyNumberFormat="1" applyFont="1" applyFill="1" applyBorder="1" applyAlignment="1">
      <alignment horizontal="center" vertical="center"/>
    </xf>
    <xf numFmtId="3" fontId="16" fillId="25" borderId="8" xfId="0" applyNumberFormat="1" applyFont="1" applyFill="1" applyBorder="1" applyAlignment="1">
      <alignment horizontal="center" vertical="center"/>
    </xf>
    <xf numFmtId="3" fontId="29" fillId="24" borderId="8" xfId="0" applyNumberFormat="1" applyFont="1" applyFill="1" applyBorder="1" applyAlignment="1">
      <alignment horizontal="center" vertical="center"/>
    </xf>
    <xf numFmtId="166" fontId="16" fillId="19" borderId="8" xfId="0" applyNumberFormat="1" applyFont="1" applyFill="1" applyBorder="1" applyAlignment="1">
      <alignment horizontal="center" vertical="center"/>
    </xf>
    <xf numFmtId="3" fontId="16" fillId="20" borderId="8" xfId="0" applyNumberFormat="1" applyFont="1" applyFill="1" applyBorder="1" applyAlignment="1">
      <alignment horizontal="center" vertical="center"/>
    </xf>
    <xf numFmtId="3" fontId="29" fillId="26" borderId="8" xfId="0" applyNumberFormat="1" applyFont="1" applyFill="1" applyBorder="1" applyAlignment="1">
      <alignment horizontal="center" vertical="center"/>
    </xf>
    <xf numFmtId="3" fontId="16" fillId="21" borderId="8" xfId="0" applyNumberFormat="1" applyFont="1" applyFill="1" applyBorder="1" applyAlignment="1">
      <alignment horizontal="center" vertical="center"/>
    </xf>
    <xf numFmtId="3" fontId="29" fillId="27" borderId="8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0" fillId="0" borderId="5" xfId="0" applyBorder="1"/>
    <xf numFmtId="0" fontId="6" fillId="7" borderId="2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9" fillId="12" borderId="3" xfId="0" applyFont="1" applyFill="1" applyBorder="1" applyAlignment="1">
      <alignment horizontal="center" vertical="center"/>
    </xf>
    <xf numFmtId="0" fontId="0" fillId="0" borderId="7" xfId="0" applyBorder="1"/>
    <xf numFmtId="0" fontId="9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7" fillId="14" borderId="8" xfId="0" applyFont="1" applyFill="1" applyBorder="1" applyAlignment="1">
      <alignment horizontal="left" vertical="center"/>
    </xf>
    <xf numFmtId="0" fontId="17" fillId="14" borderId="8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6" fillId="14" borderId="8" xfId="0" applyFont="1" applyFill="1" applyBorder="1" applyAlignment="1">
      <alignment horizontal="center" vertical="center"/>
    </xf>
    <xf numFmtId="0" fontId="29" fillId="27" borderId="8" xfId="0" applyFont="1" applyFill="1" applyBorder="1" applyAlignment="1">
      <alignment horizontal="left" vertical="center"/>
    </xf>
    <xf numFmtId="0" fontId="24" fillId="20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9" fillId="26" borderId="8" xfId="0" applyFont="1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29" fillId="24" borderId="8" xfId="0" applyFont="1" applyFill="1" applyBorder="1" applyAlignment="1">
      <alignment horizontal="left" vertical="center"/>
    </xf>
    <xf numFmtId="3" fontId="30" fillId="19" borderId="8" xfId="0" applyNumberFormat="1" applyFont="1" applyFill="1" applyBorder="1" applyAlignment="1">
      <alignment horizontal="center" vertical="center"/>
    </xf>
    <xf numFmtId="0" fontId="0" fillId="0" borderId="4" xfId="0" applyBorder="1"/>
    <xf numFmtId="0" fontId="21" fillId="18" borderId="8" xfId="0" applyFont="1" applyFill="1" applyBorder="1" applyAlignment="1">
      <alignment horizontal="right" vertical="center"/>
    </xf>
    <xf numFmtId="0" fontId="17" fillId="18" borderId="8" xfId="0" applyFont="1" applyFill="1" applyBorder="1" applyAlignment="1">
      <alignment horizontal="center" vertical="center"/>
    </xf>
    <xf numFmtId="0" fontId="24" fillId="20" borderId="8" xfId="0" applyFont="1" applyFill="1" applyBorder="1" applyAlignment="1">
      <alignment horizontal="left" vertical="center"/>
    </xf>
  </cellXfs>
  <cellStyles count="1">
    <cellStyle name="Обычный" xfId="0" builtinId="0"/>
  </cellStyles>
  <dxfs count="72"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  <dxf>
      <font>
        <b/>
        <color rgb="FFFFFFFF"/>
      </font>
      <fill>
        <patternFill>
          <bgColor rgb="FF38BDF8"/>
        </patternFill>
      </fill>
    </dxf>
    <dxf>
      <font>
        <b/>
        <color rgb="FFFFFFFF"/>
      </font>
      <fill>
        <patternFill>
          <bgColor rgb="FF22C55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ACD"/>
      <rgbColor rgb="FFDEEAF1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CE4D6"/>
      <rgbColor rgb="FF2E75B6"/>
      <rgbColor rgb="FF33CCCC"/>
      <rgbColor rgb="FF99CC00"/>
      <rgbColor rgb="FFFFD700"/>
      <rgbColor rgb="FFFF9900"/>
      <rgbColor rgb="FFC55A11"/>
      <rgbColor rgb="FF595959"/>
      <rgbColor rgb="FF70AD47"/>
      <rgbColor rgb="FF1F3864"/>
      <rgbColor rgb="FF00B050"/>
      <rgbColor rgb="FF003300"/>
      <rgbColor rgb="FF333300"/>
      <rgbColor rgb="FF8B4513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zoomScaleNormal="100" workbookViewId="0">
      <selection activeCell="J10" sqref="J10"/>
    </sheetView>
  </sheetViews>
  <sheetFormatPr defaultColWidth="8.6640625" defaultRowHeight="14.4" x14ac:dyDescent="0.3"/>
  <cols>
    <col min="1" max="1" width="28" customWidth="1"/>
    <col min="2" max="4" width="18" customWidth="1"/>
    <col min="5" max="5" width="22.33203125" customWidth="1"/>
  </cols>
  <sheetData>
    <row r="1" spans="1:5" ht="33.75" customHeight="1" x14ac:dyDescent="0.3">
      <c r="A1" s="59" t="s">
        <v>0</v>
      </c>
      <c r="B1" s="60"/>
      <c r="C1" s="60"/>
      <c r="D1" s="60"/>
      <c r="E1" s="60"/>
    </row>
    <row r="3" spans="1:5" ht="25.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24" customHeight="1" x14ac:dyDescent="0.3">
      <c r="A4" s="61" t="s">
        <v>6</v>
      </c>
      <c r="B4" s="62"/>
      <c r="C4" s="62"/>
      <c r="D4" s="62"/>
      <c r="E4" s="62"/>
    </row>
    <row r="5" spans="1:5" ht="24" customHeight="1" x14ac:dyDescent="0.3">
      <c r="A5" s="2" t="s">
        <v>7</v>
      </c>
      <c r="B5" s="3">
        <f>Апрель!AN4</f>
        <v>939</v>
      </c>
      <c r="C5" s="3">
        <f>Апрель!AN8</f>
        <v>4426</v>
      </c>
      <c r="D5" s="3">
        <f>Апрель!AN12</f>
        <v>3698</v>
      </c>
      <c r="E5" s="4">
        <f>SUM(B5:D5)</f>
        <v>9063</v>
      </c>
    </row>
    <row r="6" spans="1:5" ht="24" customHeight="1" x14ac:dyDescent="0.3">
      <c r="A6" s="2" t="s">
        <v>8</v>
      </c>
      <c r="B6" s="5">
        <f>Апрель!AN5</f>
        <v>169.10999999999999</v>
      </c>
      <c r="C6" s="5">
        <f>Апрель!AN9</f>
        <v>591.88</v>
      </c>
      <c r="D6" s="5">
        <f>Апрель!AN13</f>
        <v>423.8</v>
      </c>
      <c r="E6" s="6">
        <f>SUM(B6:D6)</f>
        <v>1184.79</v>
      </c>
    </row>
    <row r="7" spans="1:5" ht="24" customHeight="1" x14ac:dyDescent="0.3">
      <c r="A7" s="2" t="s">
        <v>9</v>
      </c>
      <c r="B7" s="5">
        <f>Апрель!AQ4</f>
        <v>131.46</v>
      </c>
      <c r="C7" s="5">
        <f>Апрель!AQ8</f>
        <v>619.64</v>
      </c>
      <c r="D7" s="5">
        <f>Апрель!AQ12</f>
        <v>517.72</v>
      </c>
      <c r="E7" s="6">
        <f>SUM(B7:D7)</f>
        <v>1268.8200000000002</v>
      </c>
    </row>
    <row r="8" spans="1:5" ht="24" customHeight="1" x14ac:dyDescent="0.3">
      <c r="A8" s="2" t="s">
        <v>10</v>
      </c>
      <c r="B8" s="5">
        <f>Апрель!AR4</f>
        <v>169.10999999999999</v>
      </c>
      <c r="C8" s="5">
        <f>Апрель!AR8</f>
        <v>591.88</v>
      </c>
      <c r="D8" s="5">
        <f>Апрель!AR12</f>
        <v>423.8</v>
      </c>
      <c r="E8" s="6">
        <f>SUM(B8:D8)</f>
        <v>1184.79</v>
      </c>
    </row>
    <row r="9" spans="1:5" ht="24" customHeight="1" x14ac:dyDescent="0.3">
      <c r="A9" s="2" t="s">
        <v>11</v>
      </c>
      <c r="B9" s="5">
        <f>Апрель!AS4</f>
        <v>-37.649999999999977</v>
      </c>
      <c r="C9" s="5">
        <f>Апрель!AS8</f>
        <v>27.759999999999991</v>
      </c>
      <c r="D9" s="5">
        <f>Апрель!AS12</f>
        <v>93.920000000000016</v>
      </c>
      <c r="E9" s="6">
        <f>SUM(B9:D9)</f>
        <v>84.03000000000003</v>
      </c>
    </row>
    <row r="10" spans="1:5" ht="24" customHeight="1" x14ac:dyDescent="0.3">
      <c r="A10" s="2" t="s">
        <v>12</v>
      </c>
      <c r="B10" s="5">
        <f>Апрель!AT4</f>
        <v>28.639890460976702</v>
      </c>
      <c r="C10" s="5">
        <f>Апрель!AT8</f>
        <v>-4.4800206571557668</v>
      </c>
      <c r="D10" s="5">
        <f>Апрель!AT12</f>
        <v>-18.141080120528475</v>
      </c>
      <c r="E10" s="6">
        <f>AVERAGE(B10:D10)</f>
        <v>2.0062632277641534</v>
      </c>
    </row>
    <row r="11" spans="1:5" ht="24" customHeight="1" x14ac:dyDescent="0.3">
      <c r="A11" s="2" t="s">
        <v>13</v>
      </c>
      <c r="B11" s="3">
        <f>Апрель!AU4</f>
        <v>39909.96</v>
      </c>
      <c r="C11" s="3">
        <f>Апрель!AU8</f>
        <v>139683.68</v>
      </c>
      <c r="D11" s="3">
        <f>Апрель!AU12</f>
        <v>100016.8</v>
      </c>
      <c r="E11" s="7">
        <f>SUM(B11:D11)</f>
        <v>279610.44</v>
      </c>
    </row>
    <row r="12" spans="1:5" ht="24" customHeight="1" x14ac:dyDescent="0.3">
      <c r="A12" s="2" t="s">
        <v>14</v>
      </c>
      <c r="B12" s="8" t="str">
        <f>Апрель!AV4</f>
        <v>⚠️ ПЕРЕРАСХОД</v>
      </c>
      <c r="C12" s="8" t="str">
        <f>Апрель!AV8</f>
        <v>✅ ОК</v>
      </c>
      <c r="D12" s="8" t="str">
        <f>Апрель!AV12</f>
        <v>✅ ОК</v>
      </c>
      <c r="E12" s="9" t="str">
        <f>IF(COUNTIF(B12:D12,"*ПЕРЕРАСХОД*")&gt;0,"⚠️ ЕСТЬ ПЕРЕРАСХОД","✅ ВСЕ ОК")</f>
        <v>⚠️ ЕСТЬ ПЕРЕРАСХОД</v>
      </c>
    </row>
    <row r="13" spans="1:5" x14ac:dyDescent="0.3">
      <c r="A13" s="35" t="s">
        <v>15</v>
      </c>
      <c r="B13" s="36">
        <f>Апрель!AN6</f>
        <v>0</v>
      </c>
      <c r="C13" s="36">
        <f>Апрель!AN10</f>
        <v>0</v>
      </c>
      <c r="D13" s="36">
        <f>Апрель!AN14</f>
        <v>0</v>
      </c>
      <c r="E13" s="36">
        <f>SUM(B13:D13)</f>
        <v>0</v>
      </c>
    </row>
    <row r="14" spans="1:5" ht="19.5" customHeight="1" x14ac:dyDescent="0.3">
      <c r="A14" s="33" t="s">
        <v>16</v>
      </c>
    </row>
    <row r="15" spans="1:5" x14ac:dyDescent="0.3">
      <c r="A15" s="37" t="s">
        <v>17</v>
      </c>
      <c r="B15" s="36">
        <f>Апрель!AN7</f>
        <v>0</v>
      </c>
      <c r="C15" s="36">
        <f>Апрель!AN11</f>
        <v>7500</v>
      </c>
      <c r="D15" s="36">
        <f>Апрель!AN15</f>
        <v>0</v>
      </c>
      <c r="E15" s="36">
        <f>SUM(B15:D15)</f>
        <v>7500</v>
      </c>
    </row>
  </sheetData>
  <mergeCells count="2">
    <mergeCell ref="A1:E1"/>
    <mergeCell ref="A4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zoomScaleNormal="100" workbookViewId="0">
      <selection activeCell="B17" sqref="B17"/>
    </sheetView>
  </sheetViews>
  <sheetFormatPr defaultColWidth="8.6640625" defaultRowHeight="14.4" x14ac:dyDescent="0.3"/>
  <cols>
    <col min="1" max="1" width="30" customWidth="1"/>
    <col min="2" max="4" width="22" customWidth="1"/>
    <col min="5" max="5" width="30" customWidth="1"/>
  </cols>
  <sheetData>
    <row r="1" spans="1:5" ht="33.75" customHeight="1" x14ac:dyDescent="0.3">
      <c r="A1" s="59" t="s">
        <v>18</v>
      </c>
      <c r="B1" s="60"/>
      <c r="C1" s="60"/>
      <c r="D1" s="60"/>
      <c r="E1" s="60"/>
    </row>
    <row r="3" spans="1:5" ht="25.5" customHeigh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/>
    </row>
    <row r="4" spans="1:5" ht="24" customHeight="1" x14ac:dyDescent="0.3">
      <c r="A4" s="2" t="s">
        <v>23</v>
      </c>
      <c r="B4" s="10" t="s">
        <v>2</v>
      </c>
      <c r="C4" s="10" t="s">
        <v>3</v>
      </c>
      <c r="D4" s="10" t="s">
        <v>4</v>
      </c>
      <c r="E4" s="11"/>
    </row>
    <row r="5" spans="1:5" ht="24" customHeight="1" x14ac:dyDescent="0.3">
      <c r="A5" s="2" t="s">
        <v>24</v>
      </c>
      <c r="B5" s="10" t="s">
        <v>25</v>
      </c>
      <c r="C5" s="10" t="s">
        <v>25</v>
      </c>
      <c r="D5" s="10" t="s">
        <v>25</v>
      </c>
      <c r="E5" s="11"/>
    </row>
    <row r="6" spans="1:5" ht="24" customHeight="1" x14ac:dyDescent="0.3">
      <c r="A6" s="2" t="s">
        <v>26</v>
      </c>
      <c r="B6" s="10" t="s">
        <v>27</v>
      </c>
      <c r="C6" s="10" t="s">
        <v>27</v>
      </c>
      <c r="D6" s="10" t="s">
        <v>27</v>
      </c>
      <c r="E6" s="11"/>
    </row>
    <row r="7" spans="1:5" ht="24" customHeight="1" x14ac:dyDescent="0.3">
      <c r="A7" s="2" t="s">
        <v>28</v>
      </c>
      <c r="B7" s="10" t="s">
        <v>29</v>
      </c>
      <c r="C7" s="10" t="s">
        <v>30</v>
      </c>
      <c r="D7" s="10" t="s">
        <v>31</v>
      </c>
      <c r="E7" s="11"/>
    </row>
    <row r="8" spans="1:5" ht="24" customHeight="1" x14ac:dyDescent="0.3">
      <c r="A8" s="2" t="s">
        <v>32</v>
      </c>
      <c r="B8" s="12">
        <v>70</v>
      </c>
      <c r="C8" s="12">
        <v>70</v>
      </c>
      <c r="D8" s="12">
        <v>70</v>
      </c>
      <c r="E8" s="11"/>
    </row>
    <row r="9" spans="1:5" ht="24" customHeight="1" x14ac:dyDescent="0.3">
      <c r="A9" s="2" t="s">
        <v>33</v>
      </c>
      <c r="B9" s="12">
        <v>14</v>
      </c>
      <c r="C9" s="12">
        <v>14</v>
      </c>
      <c r="D9" s="12">
        <v>14</v>
      </c>
      <c r="E9" s="11"/>
    </row>
    <row r="10" spans="1:5" ht="24" customHeight="1" x14ac:dyDescent="0.3">
      <c r="A10" s="2" t="s">
        <v>34</v>
      </c>
      <c r="B10" s="12">
        <v>236</v>
      </c>
      <c r="C10" s="12">
        <v>236</v>
      </c>
      <c r="D10" s="12">
        <v>236</v>
      </c>
      <c r="E10" s="11"/>
    </row>
    <row r="11" spans="1:5" ht="24" customHeight="1" x14ac:dyDescent="0.3">
      <c r="A11" s="2" t="s">
        <v>35</v>
      </c>
      <c r="B11" s="12">
        <v>20</v>
      </c>
      <c r="C11" s="12">
        <v>20</v>
      </c>
      <c r="D11" s="12">
        <v>20</v>
      </c>
      <c r="E11" s="11"/>
    </row>
    <row r="12" spans="1:5" ht="24" customHeight="1" x14ac:dyDescent="0.3">
      <c r="A12" s="2" t="s">
        <v>36</v>
      </c>
      <c r="B12" s="12">
        <v>70</v>
      </c>
      <c r="C12" s="12">
        <v>70</v>
      </c>
      <c r="D12" s="12">
        <v>70</v>
      </c>
      <c r="E12" s="11"/>
    </row>
    <row r="14" spans="1:5" ht="21.75" customHeight="1" x14ac:dyDescent="0.3">
      <c r="A14" s="63" t="s">
        <v>37</v>
      </c>
      <c r="B14" s="62"/>
      <c r="C14" s="62"/>
      <c r="D14" s="62"/>
      <c r="E14" s="62"/>
    </row>
  </sheetData>
  <mergeCells count="2">
    <mergeCell ref="A1:E1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N18" sqref="N18"/>
    </sheetView>
  </sheetViews>
  <sheetFormatPr defaultColWidth="8.6640625" defaultRowHeight="14.4" x14ac:dyDescent="0.3"/>
  <cols>
    <col min="1" max="1" width="5" customWidth="1"/>
    <col min="2" max="2" width="15" customWidth="1"/>
    <col min="3" max="3" width="14" customWidth="1"/>
    <col min="4" max="4" width="10" customWidth="1"/>
    <col min="5" max="23" width="12" customWidth="1"/>
    <col min="26" max="26" width="17.77734375" customWidth="1"/>
  </cols>
  <sheetData>
    <row r="1" spans="1:26" ht="31.5" customHeight="1" x14ac:dyDescent="0.3">
      <c r="A1" s="59" t="s">
        <v>38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3" spans="1:26" ht="37.5" customHeight="1" x14ac:dyDescent="0.3">
      <c r="A3" s="34" t="s">
        <v>39</v>
      </c>
      <c r="B3" s="34" t="s">
        <v>40</v>
      </c>
      <c r="C3" s="34" t="s">
        <v>41</v>
      </c>
      <c r="D3" s="34" t="s">
        <v>42</v>
      </c>
      <c r="E3" s="64" t="s">
        <v>43</v>
      </c>
      <c r="F3" s="65"/>
      <c r="G3" s="64" t="s">
        <v>44</v>
      </c>
      <c r="H3" s="65"/>
      <c r="I3" s="64" t="s">
        <v>45</v>
      </c>
      <c r="J3" s="65"/>
      <c r="K3" s="64" t="s">
        <v>46</v>
      </c>
      <c r="L3" s="65"/>
      <c r="M3" s="64" t="s">
        <v>47</v>
      </c>
      <c r="N3" s="65"/>
      <c r="O3" s="64" t="s">
        <v>48</v>
      </c>
      <c r="P3" s="65"/>
      <c r="Q3" s="64" t="s">
        <v>49</v>
      </c>
      <c r="R3" s="65"/>
      <c r="S3" s="64" t="s">
        <v>50</v>
      </c>
      <c r="T3" s="65"/>
      <c r="U3" s="64" t="s">
        <v>51</v>
      </c>
      <c r="V3" s="65"/>
      <c r="W3" s="13" t="s">
        <v>52</v>
      </c>
      <c r="X3" s="13" t="s">
        <v>53</v>
      </c>
      <c r="Y3" s="13" t="s">
        <v>54</v>
      </c>
      <c r="Z3" s="13" t="s">
        <v>55</v>
      </c>
    </row>
    <row r="4" spans="1:26" ht="19.5" customHeight="1" x14ac:dyDescent="0.3">
      <c r="A4" s="66"/>
      <c r="B4" s="62"/>
      <c r="C4" s="62"/>
      <c r="D4" s="62"/>
      <c r="E4" s="14" t="s">
        <v>56</v>
      </c>
      <c r="F4" s="14" t="s">
        <v>57</v>
      </c>
      <c r="G4" s="14" t="s">
        <v>56</v>
      </c>
      <c r="H4" s="14" t="s">
        <v>57</v>
      </c>
      <c r="I4" s="14" t="s">
        <v>56</v>
      </c>
      <c r="J4" s="14" t="s">
        <v>57</v>
      </c>
      <c r="K4" s="14" t="s">
        <v>56</v>
      </c>
      <c r="L4" s="14" t="s">
        <v>57</v>
      </c>
      <c r="M4" s="14" t="s">
        <v>56</v>
      </c>
      <c r="N4" s="14" t="s">
        <v>57</v>
      </c>
      <c r="O4" s="14" t="s">
        <v>56</v>
      </c>
      <c r="P4" s="14" t="s">
        <v>57</v>
      </c>
      <c r="Q4" s="14" t="s">
        <v>56</v>
      </c>
      <c r="R4" s="14" t="s">
        <v>57</v>
      </c>
      <c r="S4" s="14" t="s">
        <v>56</v>
      </c>
      <c r="T4" s="14" t="s">
        <v>57</v>
      </c>
      <c r="U4" s="14" t="s">
        <v>56</v>
      </c>
      <c r="V4" s="14" t="s">
        <v>57</v>
      </c>
      <c r="W4" s="15"/>
      <c r="X4" s="15"/>
      <c r="Y4" s="15"/>
      <c r="Z4" s="15"/>
    </row>
    <row r="5" spans="1:26" ht="19.5" customHeight="1" x14ac:dyDescent="0.3">
      <c r="A5" s="69">
        <v>1</v>
      </c>
      <c r="B5" s="69" t="s">
        <v>58</v>
      </c>
      <c r="C5" s="69" t="s">
        <v>2</v>
      </c>
      <c r="D5" s="16" t="s">
        <v>59</v>
      </c>
      <c r="E5" s="17">
        <f>Апрель!AN4</f>
        <v>939</v>
      </c>
      <c r="F5" s="18"/>
      <c r="G5" s="17">
        <f>Май!AO4</f>
        <v>0</v>
      </c>
      <c r="H5" s="18"/>
      <c r="I5" s="17">
        <f>Июнь!AN4</f>
        <v>0</v>
      </c>
      <c r="J5" s="18"/>
      <c r="K5" s="17">
        <f>Июль!AO4</f>
        <v>0</v>
      </c>
      <c r="L5" s="18"/>
      <c r="M5" s="17">
        <f>Август!AO4</f>
        <v>0</v>
      </c>
      <c r="N5" s="18"/>
      <c r="O5" s="17">
        <f>Сентябрь!AN4</f>
        <v>0</v>
      </c>
      <c r="P5" s="18"/>
      <c r="Q5" s="17">
        <f>Октябрь!AO4</f>
        <v>0</v>
      </c>
      <c r="R5" s="18"/>
      <c r="S5" s="17">
        <f>Ноябрь!AN4</f>
        <v>0</v>
      </c>
      <c r="T5" s="18"/>
      <c r="U5" s="17">
        <f>Декабрь!AO4</f>
        <v>0</v>
      </c>
      <c r="V5" s="18"/>
      <c r="W5" s="19">
        <f>Апрель!AN4+Май!AO4+Июнь!AN4+Июль!AO4+Август!AO4+Сентябрь!AN4+Октябрь!AO4+Ноябрь!AN4+Декабрь!AO4</f>
        <v>939</v>
      </c>
      <c r="X5" s="20">
        <f>Апрель!AN5+Май!AO5+Июнь!AN5+Июль!AO5+Август!AO5+Сентябрь!AN5+Октябрь!AO5+Ноябрь!AN5+Декабрь!AO5</f>
        <v>169.10999999999999</v>
      </c>
      <c r="Y5" s="21">
        <f>Апрель!AU4+Май!AV4+Июнь!AU4+Июль!AV4+Август!AV4+Сентябрь!AU4+Октябрь!AV4+Ноябрь!AU4+Декабрь!AV4</f>
        <v>39909.96</v>
      </c>
      <c r="Z5" s="22" t="str">
        <f>IF(W5=0,"—",IF(IFERROR((X5/W5*100-'⚙ Настройки'!B9)/'⚙ Настройки'!B9*100,0)&lt;='⚙ Настройки'!B11,"✅ ОК","⚠️ ПЕРЕРАСХОД"))</f>
        <v>⚠️ ПЕРЕРАСХОД</v>
      </c>
    </row>
    <row r="6" spans="1:26" ht="18" customHeight="1" x14ac:dyDescent="0.3">
      <c r="A6" s="68"/>
      <c r="B6" s="68"/>
      <c r="C6" s="68"/>
      <c r="D6" s="23" t="s">
        <v>60</v>
      </c>
      <c r="E6" s="24"/>
      <c r="F6" s="25">
        <f>Апрель!AN5</f>
        <v>169.10999999999999</v>
      </c>
      <c r="G6" s="24"/>
      <c r="H6" s="25">
        <f>Май!AO5</f>
        <v>0</v>
      </c>
      <c r="I6" s="24"/>
      <c r="J6" s="25">
        <f>Июнь!AN5</f>
        <v>0</v>
      </c>
      <c r="K6" s="24"/>
      <c r="L6" s="25">
        <f>Июль!AO5</f>
        <v>0</v>
      </c>
      <c r="M6" s="24"/>
      <c r="N6" s="25">
        <f>Август!AO5</f>
        <v>0</v>
      </c>
      <c r="O6" s="24"/>
      <c r="P6" s="25">
        <f>Сентябрь!AN5</f>
        <v>0</v>
      </c>
      <c r="Q6" s="24"/>
      <c r="R6" s="25">
        <f>Октябрь!AO5</f>
        <v>0</v>
      </c>
      <c r="S6" s="24"/>
      <c r="T6" s="25">
        <f>Ноябрь!AN5</f>
        <v>0</v>
      </c>
      <c r="U6" s="24"/>
      <c r="V6" s="25">
        <f>Декабрь!AO5</f>
        <v>0</v>
      </c>
      <c r="W6" s="15"/>
      <c r="X6" s="15"/>
      <c r="Y6" s="15"/>
      <c r="Z6" s="15"/>
    </row>
    <row r="7" spans="1:26" ht="19.5" customHeight="1" x14ac:dyDescent="0.3">
      <c r="A7" s="67">
        <v>2</v>
      </c>
      <c r="B7" s="67" t="s">
        <v>58</v>
      </c>
      <c r="C7" s="67" t="s">
        <v>3</v>
      </c>
      <c r="D7" s="16" t="s">
        <v>59</v>
      </c>
      <c r="E7" s="26">
        <f>Апрель!AN6</f>
        <v>0</v>
      </c>
      <c r="F7" s="27"/>
      <c r="G7" s="26">
        <f>Май!AO6</f>
        <v>0</v>
      </c>
      <c r="H7" s="27"/>
      <c r="I7" s="26">
        <f>Июнь!AN6</f>
        <v>0</v>
      </c>
      <c r="J7" s="27"/>
      <c r="K7" s="26">
        <f>Июль!AO6</f>
        <v>0</v>
      </c>
      <c r="L7" s="27"/>
      <c r="M7" s="26">
        <f>Август!AO6</f>
        <v>0</v>
      </c>
      <c r="N7" s="27"/>
      <c r="O7" s="26">
        <f>Сентябрь!AN6</f>
        <v>0</v>
      </c>
      <c r="P7" s="27"/>
      <c r="Q7" s="26">
        <f>Октябрь!AO6</f>
        <v>0</v>
      </c>
      <c r="R7" s="27"/>
      <c r="S7" s="26">
        <f>Ноябрь!AN6</f>
        <v>0</v>
      </c>
      <c r="T7" s="27"/>
      <c r="U7" s="26">
        <f>Декабрь!AO6</f>
        <v>0</v>
      </c>
      <c r="V7" s="27"/>
      <c r="W7" s="19">
        <f>Апрель!AN6+Май!AO6+Июнь!AN6+Июль!AO6+Август!AO6+Сентябрь!AN6+Октябрь!AO6+Ноябрь!AN6+Декабрь!AO6</f>
        <v>0</v>
      </c>
      <c r="X7" s="20">
        <f>Апрель!AN7+Май!AO7+Июнь!AN7+Июль!AO7+Август!AO7+Сентябрь!AN7+Октябрь!AO7+Ноябрь!AN7+Декабрь!AO7</f>
        <v>0</v>
      </c>
      <c r="Y7" s="21">
        <f>Апрель!AU6+Май!AV6+Июнь!AU6+Июль!AV6+Август!AV6+Сентябрь!AU6+Октябрь!AV6+Ноябрь!AU6+Декабрь!AV6</f>
        <v>0</v>
      </c>
      <c r="Z7" s="22" t="str">
        <f>IF(W7=0,"—",IF(IFERROR((X7/W7*100-'⚙ Настройки'!C9)/'⚙ Настройки'!C9*100,0)&lt;='⚙ Настройки'!C11,"✅ ОК","⚠️ ПЕРЕРАСХОД"))</f>
        <v>—</v>
      </c>
    </row>
    <row r="8" spans="1:26" ht="18" customHeight="1" x14ac:dyDescent="0.3">
      <c r="A8" s="68"/>
      <c r="B8" s="68"/>
      <c r="C8" s="68"/>
      <c r="D8" s="23" t="s">
        <v>60</v>
      </c>
      <c r="E8" s="24"/>
      <c r="F8" s="25">
        <f>Апрель!AN7</f>
        <v>0</v>
      </c>
      <c r="G8" s="24"/>
      <c r="H8" s="25">
        <f>Май!AO7</f>
        <v>0</v>
      </c>
      <c r="I8" s="24"/>
      <c r="J8" s="25">
        <f>Июнь!AN7</f>
        <v>0</v>
      </c>
      <c r="K8" s="24"/>
      <c r="L8" s="25">
        <f>Июль!AO7</f>
        <v>0</v>
      </c>
      <c r="M8" s="24"/>
      <c r="N8" s="25">
        <f>Август!AO7</f>
        <v>0</v>
      </c>
      <c r="O8" s="24"/>
      <c r="P8" s="25">
        <f>Сентябрь!AN7</f>
        <v>0</v>
      </c>
      <c r="Q8" s="24"/>
      <c r="R8" s="25">
        <f>Октябрь!AO7</f>
        <v>0</v>
      </c>
      <c r="S8" s="24"/>
      <c r="T8" s="25">
        <f>Ноябрь!AN7</f>
        <v>0</v>
      </c>
      <c r="U8" s="24"/>
      <c r="V8" s="25">
        <f>Декабрь!AO7</f>
        <v>0</v>
      </c>
      <c r="W8" s="15"/>
      <c r="X8" s="15"/>
      <c r="Y8" s="15"/>
      <c r="Z8" s="15"/>
    </row>
    <row r="9" spans="1:26" ht="19.5" customHeight="1" x14ac:dyDescent="0.3">
      <c r="A9" s="69">
        <v>3</v>
      </c>
      <c r="B9" s="69" t="s">
        <v>58</v>
      </c>
      <c r="C9" s="69" t="s">
        <v>4</v>
      </c>
      <c r="D9" s="16" t="s">
        <v>59</v>
      </c>
      <c r="E9" s="17">
        <f>Апрель!AN8</f>
        <v>4426</v>
      </c>
      <c r="F9" s="18"/>
      <c r="G9" s="17">
        <f>Май!AO8</f>
        <v>101</v>
      </c>
      <c r="H9" s="18"/>
      <c r="I9" s="17">
        <f>Июнь!AN8</f>
        <v>0</v>
      </c>
      <c r="J9" s="18"/>
      <c r="K9" s="17">
        <f>Июль!AO8</f>
        <v>0</v>
      </c>
      <c r="L9" s="18"/>
      <c r="M9" s="17">
        <f>Август!AO8</f>
        <v>0</v>
      </c>
      <c r="N9" s="18"/>
      <c r="O9" s="17">
        <f>Сентябрь!AN8</f>
        <v>0</v>
      </c>
      <c r="P9" s="18"/>
      <c r="Q9" s="17">
        <f>Октябрь!AO8</f>
        <v>0</v>
      </c>
      <c r="R9" s="18"/>
      <c r="S9" s="17">
        <f>Ноябрь!AN8</f>
        <v>0</v>
      </c>
      <c r="T9" s="18"/>
      <c r="U9" s="17">
        <f>Декабрь!AO8</f>
        <v>0</v>
      </c>
      <c r="V9" s="18"/>
      <c r="W9" s="19">
        <f>Апрель!AN8+Май!AO8+Июнь!AN8+Июль!AO8+Август!AO8+Сентябрь!AN8+Октябрь!AO8+Ноябрь!AN8+Декабрь!AO8</f>
        <v>4527</v>
      </c>
      <c r="X9" s="20">
        <f>Апрель!AN9+Май!AO9+Июнь!AN9+Июль!AO9+Август!AO9+Сентябрь!AN9+Октябрь!AO9+Ноябрь!AN9+Декабрь!AO9</f>
        <v>632.14</v>
      </c>
      <c r="Y9" s="21">
        <f>Апрель!AU8+Май!AV8+Июнь!AU8+Июль!AV8+Август!AV8+Сентябрь!AU8+Октябрь!AV8+Ноябрь!AU8+Декабрь!AV8</f>
        <v>149185.03999999998</v>
      </c>
      <c r="Z9" s="22" t="str">
        <f>IF(W9=0,"—",IF(IFERROR((X9/W9*100-'⚙ Настройки'!D9)/'⚙ Настройки'!D9*100,0)&lt;='⚙ Настройки'!D11,"✅ ОК","⚠️ ПЕРЕРАСХОД"))</f>
        <v>✅ ОК</v>
      </c>
    </row>
    <row r="10" spans="1:26" ht="18" customHeight="1" x14ac:dyDescent="0.3">
      <c r="A10" s="68"/>
      <c r="B10" s="68"/>
      <c r="C10" s="68"/>
      <c r="D10" s="23" t="s">
        <v>60</v>
      </c>
      <c r="E10" s="24"/>
      <c r="F10" s="25">
        <f>Апрель!AN9</f>
        <v>591.88</v>
      </c>
      <c r="G10" s="24"/>
      <c r="H10" s="25">
        <f>Май!AO9</f>
        <v>40.26</v>
      </c>
      <c r="I10" s="24"/>
      <c r="J10" s="25">
        <f>Июнь!AN9</f>
        <v>0</v>
      </c>
      <c r="K10" s="24"/>
      <c r="L10" s="25">
        <f>Июль!AO9</f>
        <v>0</v>
      </c>
      <c r="M10" s="24"/>
      <c r="N10" s="25">
        <f>Август!AO9</f>
        <v>0</v>
      </c>
      <c r="O10" s="24"/>
      <c r="P10" s="25">
        <f>Сентябрь!AN9</f>
        <v>0</v>
      </c>
      <c r="Q10" s="24"/>
      <c r="R10" s="25">
        <f>Октябрь!AO9</f>
        <v>0</v>
      </c>
      <c r="S10" s="24"/>
      <c r="T10" s="25">
        <f>Ноябрь!AN9</f>
        <v>0</v>
      </c>
      <c r="U10" s="24"/>
      <c r="V10" s="25">
        <f>Декабрь!AO9</f>
        <v>0</v>
      </c>
      <c r="W10" s="15"/>
      <c r="X10" s="15"/>
      <c r="Y10" s="15"/>
      <c r="Z10" s="15"/>
    </row>
    <row r="11" spans="1:26" ht="24" customHeight="1" x14ac:dyDescent="0.3">
      <c r="A11" s="70" t="s">
        <v>61</v>
      </c>
      <c r="B11" s="62"/>
      <c r="C11" s="62"/>
      <c r="D11" s="62"/>
      <c r="E11" s="28">
        <f>E5+E7+E9</f>
        <v>5365</v>
      </c>
      <c r="F11" s="29">
        <f>F6+F8+F10</f>
        <v>760.99</v>
      </c>
      <c r="G11" s="28">
        <f>G5+G7+G9</f>
        <v>101</v>
      </c>
      <c r="H11" s="29">
        <f>H6+H8+H10</f>
        <v>40.26</v>
      </c>
      <c r="I11" s="28">
        <f>I5+I7+I9</f>
        <v>0</v>
      </c>
      <c r="J11" s="29">
        <f>J6+J8+J10</f>
        <v>0</v>
      </c>
      <c r="K11" s="28">
        <f>K5+K7+K9</f>
        <v>0</v>
      </c>
      <c r="L11" s="29">
        <f>L6+L8+L10</f>
        <v>0</v>
      </c>
      <c r="M11" s="28">
        <f>M5+M7+M9</f>
        <v>0</v>
      </c>
      <c r="N11" s="29">
        <f>N6+N8+N10</f>
        <v>0</v>
      </c>
      <c r="O11" s="28">
        <f>O5+O7+O9</f>
        <v>0</v>
      </c>
      <c r="P11" s="29">
        <f>P6+P8+P10</f>
        <v>0</v>
      </c>
      <c r="Q11" s="28">
        <f>Q5+Q7+Q9</f>
        <v>0</v>
      </c>
      <c r="R11" s="29">
        <f>R6+R8+R10</f>
        <v>0</v>
      </c>
      <c r="S11" s="28">
        <f>S5+S7+S9</f>
        <v>0</v>
      </c>
      <c r="T11" s="29">
        <f>T6+T8+T10</f>
        <v>0</v>
      </c>
      <c r="U11" s="28">
        <f>U5+U7+U9</f>
        <v>0</v>
      </c>
      <c r="V11" s="29">
        <f>V6+V8+V10</f>
        <v>0</v>
      </c>
    </row>
  </sheetData>
  <mergeCells count="21">
    <mergeCell ref="C9:C10"/>
    <mergeCell ref="A1:Z1"/>
    <mergeCell ref="A11:D11"/>
    <mergeCell ref="G3:H3"/>
    <mergeCell ref="I3:J3"/>
    <mergeCell ref="A5:A6"/>
    <mergeCell ref="B9:B10"/>
    <mergeCell ref="U3:V3"/>
    <mergeCell ref="C7:C8"/>
    <mergeCell ref="M3:N3"/>
    <mergeCell ref="B5:B6"/>
    <mergeCell ref="A9:A10"/>
    <mergeCell ref="B7:B8"/>
    <mergeCell ref="E3:F3"/>
    <mergeCell ref="K3:L3"/>
    <mergeCell ref="C5:C6"/>
    <mergeCell ref="O3:P3"/>
    <mergeCell ref="Q3:R3"/>
    <mergeCell ref="A4:D4"/>
    <mergeCell ref="A7:A8"/>
    <mergeCell ref="S3:T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9"/>
  <sheetViews>
    <sheetView zoomScaleNormal="100" workbookViewId="0">
      <pane xSplit="9" ySplit="3" topLeftCell="R4" activePane="bottomRight" state="frozen"/>
      <selection pane="topRight" activeCell="J1" sqref="J1"/>
      <selection pane="bottomLeft" activeCell="A4" sqref="A4"/>
      <selection pane="bottomRight" activeCell="Z14" sqref="Z14"/>
    </sheetView>
  </sheetViews>
  <sheetFormatPr defaultColWidth="8.6640625" defaultRowHeight="14.4" x14ac:dyDescent="0.3"/>
  <cols>
    <col min="1" max="1" width="10.5546875" customWidth="1"/>
    <col min="2" max="2" width="9.88671875" customWidth="1"/>
    <col min="3" max="3" width="10.88671875" customWidth="1"/>
    <col min="4" max="4" width="7.6640625" customWidth="1"/>
    <col min="5" max="5" width="9.6640625" customWidth="1"/>
    <col min="6" max="6" width="18.44140625" customWidth="1"/>
    <col min="7" max="7" width="7.44140625" customWidth="1"/>
    <col min="8" max="8" width="3.77734375" customWidth="1"/>
    <col min="9" max="9" width="7.109375" customWidth="1"/>
    <col min="10" max="39" width="7" customWidth="1"/>
    <col min="40" max="47" width="14" customWidth="1"/>
    <col min="48" max="48" width="16.109375" customWidth="1"/>
  </cols>
  <sheetData>
    <row r="1" spans="1:48" ht="30" customHeight="1" x14ac:dyDescent="0.3">
      <c r="A1" s="71" t="s">
        <v>62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</row>
    <row r="2" spans="1:48" ht="21.75" customHeight="1" x14ac:dyDescent="0.3">
      <c r="A2" s="76" t="s">
        <v>63</v>
      </c>
      <c r="B2" s="60"/>
      <c r="C2" s="60"/>
      <c r="D2" s="60"/>
      <c r="E2" s="60"/>
      <c r="F2" s="60"/>
      <c r="G2" s="60"/>
      <c r="H2" s="60"/>
      <c r="I2" s="60"/>
      <c r="J2" s="75" t="s">
        <v>64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74" t="s">
        <v>65</v>
      </c>
      <c r="AO2" s="60"/>
      <c r="AP2" s="60"/>
      <c r="AQ2" s="60"/>
      <c r="AR2" s="60"/>
      <c r="AS2" s="60"/>
      <c r="AT2" s="60"/>
      <c r="AU2" s="60"/>
      <c r="AV2" s="60"/>
    </row>
    <row r="3" spans="1:48" ht="42" customHeight="1" x14ac:dyDescent="0.3">
      <c r="A3" s="30" t="s">
        <v>39</v>
      </c>
      <c r="B3" s="30" t="s">
        <v>66</v>
      </c>
      <c r="C3" s="30" t="s">
        <v>40</v>
      </c>
      <c r="D3" s="30" t="s">
        <v>41</v>
      </c>
      <c r="E3" s="30" t="s">
        <v>67</v>
      </c>
      <c r="F3" s="30" t="s">
        <v>68</v>
      </c>
      <c r="G3" s="30" t="s">
        <v>69</v>
      </c>
      <c r="H3" s="30" t="s">
        <v>70</v>
      </c>
      <c r="I3" s="30" t="s">
        <v>71</v>
      </c>
      <c r="J3" s="31" t="s">
        <v>72</v>
      </c>
      <c r="K3" s="31" t="s">
        <v>73</v>
      </c>
      <c r="L3" s="31" t="s">
        <v>74</v>
      </c>
      <c r="M3" s="32" t="s">
        <v>75</v>
      </c>
      <c r="N3" s="32" t="s">
        <v>76</v>
      </c>
      <c r="O3" s="31" t="s">
        <v>77</v>
      </c>
      <c r="P3" s="31" t="s">
        <v>78</v>
      </c>
      <c r="Q3" s="31" t="s">
        <v>79</v>
      </c>
      <c r="R3" s="31" t="s">
        <v>80</v>
      </c>
      <c r="S3" s="31" t="s">
        <v>81</v>
      </c>
      <c r="T3" s="32" t="s">
        <v>82</v>
      </c>
      <c r="U3" s="32" t="s">
        <v>83</v>
      </c>
      <c r="V3" s="31" t="s">
        <v>84</v>
      </c>
      <c r="W3" s="31" t="s">
        <v>85</v>
      </c>
      <c r="X3" s="31" t="s">
        <v>86</v>
      </c>
      <c r="Y3" s="31" t="s">
        <v>87</v>
      </c>
      <c r="Z3" s="31" t="s">
        <v>88</v>
      </c>
      <c r="AA3" s="32" t="s">
        <v>89</v>
      </c>
      <c r="AB3" s="32" t="s">
        <v>90</v>
      </c>
      <c r="AC3" s="31" t="s">
        <v>91</v>
      </c>
      <c r="AD3" s="31" t="s">
        <v>92</v>
      </c>
      <c r="AE3" s="31" t="s">
        <v>93</v>
      </c>
      <c r="AF3" s="31" t="s">
        <v>94</v>
      </c>
      <c r="AG3" s="31" t="s">
        <v>95</v>
      </c>
      <c r="AH3" s="32" t="s">
        <v>96</v>
      </c>
      <c r="AI3" s="32" t="s">
        <v>97</v>
      </c>
      <c r="AJ3" s="31" t="s">
        <v>98</v>
      </c>
      <c r="AK3" s="31" t="s">
        <v>99</v>
      </c>
      <c r="AL3" s="31" t="s">
        <v>100</v>
      </c>
      <c r="AM3" s="31" t="s">
        <v>101</v>
      </c>
      <c r="AN3" s="13" t="s">
        <v>102</v>
      </c>
      <c r="AO3" s="13" t="s">
        <v>103</v>
      </c>
      <c r="AP3" s="13" t="s">
        <v>104</v>
      </c>
      <c r="AQ3" s="13" t="s">
        <v>105</v>
      </c>
      <c r="AR3" s="13" t="s">
        <v>106</v>
      </c>
      <c r="AS3" s="13" t="s">
        <v>107</v>
      </c>
      <c r="AT3" s="13" t="s">
        <v>108</v>
      </c>
      <c r="AU3" s="13" t="s">
        <v>109</v>
      </c>
      <c r="AV3" s="13" t="s">
        <v>55</v>
      </c>
    </row>
    <row r="4" spans="1:48" ht="19.5" customHeight="1" x14ac:dyDescent="0.3">
      <c r="A4" s="77" t="s">
        <v>110</v>
      </c>
      <c r="B4" s="72" t="s">
        <v>25</v>
      </c>
      <c r="C4" s="72" t="s">
        <v>58</v>
      </c>
      <c r="D4" s="77" t="s">
        <v>2</v>
      </c>
      <c r="E4" s="73" t="s">
        <v>27</v>
      </c>
      <c r="F4" s="73" t="s">
        <v>29</v>
      </c>
      <c r="G4" s="38" t="s">
        <v>59</v>
      </c>
      <c r="H4" s="73">
        <v>70</v>
      </c>
      <c r="I4" s="73">
        <v>70</v>
      </c>
      <c r="J4" s="39">
        <v>29</v>
      </c>
      <c r="K4" s="39">
        <v>0</v>
      </c>
      <c r="L4" s="39">
        <v>49</v>
      </c>
      <c r="M4" s="39">
        <v>0</v>
      </c>
      <c r="N4" s="39">
        <v>0</v>
      </c>
      <c r="O4" s="39">
        <v>35</v>
      </c>
      <c r="P4" s="39">
        <v>91</v>
      </c>
      <c r="Q4" s="39">
        <v>45</v>
      </c>
      <c r="R4" s="39">
        <v>39</v>
      </c>
      <c r="S4" s="39">
        <v>60</v>
      </c>
      <c r="T4" s="39">
        <v>0</v>
      </c>
      <c r="U4" s="39">
        <v>0</v>
      </c>
      <c r="V4" s="39">
        <v>15</v>
      </c>
      <c r="W4" s="39">
        <v>52</v>
      </c>
      <c r="X4" s="39">
        <v>74</v>
      </c>
      <c r="Y4" s="39">
        <v>38</v>
      </c>
      <c r="Z4" s="39">
        <v>36</v>
      </c>
      <c r="AA4" s="39">
        <v>0</v>
      </c>
      <c r="AB4" s="39">
        <v>0</v>
      </c>
      <c r="AC4" s="39">
        <v>33</v>
      </c>
      <c r="AD4" s="39">
        <v>68</v>
      </c>
      <c r="AE4" s="39">
        <v>63</v>
      </c>
      <c r="AF4" s="39">
        <v>60</v>
      </c>
      <c r="AG4" s="39">
        <v>57</v>
      </c>
      <c r="AH4" s="39"/>
      <c r="AI4" s="39"/>
      <c r="AJ4" s="39">
        <v>43</v>
      </c>
      <c r="AK4" s="39">
        <v>43</v>
      </c>
      <c r="AL4" s="39">
        <v>9</v>
      </c>
      <c r="AM4" s="39"/>
      <c r="AN4" s="40">
        <f t="shared" ref="AN4:AN15" si="0">SUM(J4:AM4)</f>
        <v>939</v>
      </c>
      <c r="AO4" s="41">
        <f>'⚙ Настройки'!B9</f>
        <v>14</v>
      </c>
      <c r="AP4" s="42">
        <f>IFERROR(AN5/AN4*100,0)</f>
        <v>18.009584664536739</v>
      </c>
      <c r="AQ4" s="42">
        <f>IFERROR(AN4*AO4/100,0)</f>
        <v>131.46</v>
      </c>
      <c r="AR4" s="42">
        <f>AN5</f>
        <v>169.10999999999999</v>
      </c>
      <c r="AS4" s="42">
        <f>AQ4-AR4</f>
        <v>-37.649999999999977</v>
      </c>
      <c r="AT4" s="43">
        <f>IFERROR((AR4-AQ4)/AQ4*100,0)</f>
        <v>28.639890460976702</v>
      </c>
      <c r="AU4" s="41">
        <f>AR4*'⚙ Настройки'!B10</f>
        <v>39909.96</v>
      </c>
      <c r="AV4" s="44" t="str">
        <f>IF(AN4=0,"—",IF(AT4&lt;='⚙ Настройки'!B11,"✅ ОК","⚠️ ПЕРЕРАСХОД"))</f>
        <v>⚠️ ПЕРЕРАСХОД</v>
      </c>
    </row>
    <row r="5" spans="1:48" ht="18" customHeight="1" x14ac:dyDescent="0.3">
      <c r="A5" s="68"/>
      <c r="B5" s="68"/>
      <c r="C5" s="68"/>
      <c r="D5" s="68"/>
      <c r="E5" s="68"/>
      <c r="F5" s="68"/>
      <c r="G5" s="45" t="s">
        <v>111</v>
      </c>
      <c r="H5" s="68"/>
      <c r="I5" s="68"/>
      <c r="J5" s="46"/>
      <c r="K5" s="46"/>
      <c r="L5" s="46">
        <v>42</v>
      </c>
      <c r="M5" s="46"/>
      <c r="N5" s="46"/>
      <c r="O5" s="46"/>
      <c r="P5" s="46"/>
      <c r="Q5" s="46"/>
      <c r="R5" s="46">
        <v>42.38</v>
      </c>
      <c r="S5" s="46"/>
      <c r="T5" s="46"/>
      <c r="U5" s="46"/>
      <c r="V5" s="46"/>
      <c r="W5" s="46"/>
      <c r="X5" s="46"/>
      <c r="Y5" s="46">
        <v>42.35</v>
      </c>
      <c r="Z5" s="46"/>
      <c r="AA5" s="46"/>
      <c r="AB5" s="46"/>
      <c r="AC5" s="46"/>
      <c r="AD5" s="46"/>
      <c r="AE5" s="46"/>
      <c r="AF5" s="46">
        <v>42.38</v>
      </c>
      <c r="AG5" s="46"/>
      <c r="AH5" s="46"/>
      <c r="AI5" s="46"/>
      <c r="AJ5" s="46"/>
      <c r="AK5" s="46"/>
      <c r="AL5" s="46"/>
      <c r="AM5" s="46"/>
      <c r="AN5" s="47">
        <f t="shared" si="0"/>
        <v>169.10999999999999</v>
      </c>
      <c r="AO5" s="18"/>
      <c r="AP5" s="15"/>
      <c r="AQ5" s="18"/>
      <c r="AR5" s="15"/>
      <c r="AS5" s="15"/>
      <c r="AT5" s="15"/>
      <c r="AU5" s="15"/>
      <c r="AV5" s="15"/>
    </row>
    <row r="6" spans="1:48" ht="16.95" customHeight="1" x14ac:dyDescent="0.3">
      <c r="A6" s="79" t="s">
        <v>313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9">
        <f t="shared" si="0"/>
        <v>0</v>
      </c>
    </row>
    <row r="7" spans="1:48" ht="16.95" customHeight="1" x14ac:dyDescent="0.3">
      <c r="A7" s="82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1">
        <f t="shared" si="0"/>
        <v>0</v>
      </c>
    </row>
    <row r="8" spans="1:48" ht="19.5" customHeight="1" x14ac:dyDescent="0.3">
      <c r="A8" s="77" t="s">
        <v>112</v>
      </c>
      <c r="B8" s="72" t="s">
        <v>25</v>
      </c>
      <c r="C8" s="72" t="s">
        <v>58</v>
      </c>
      <c r="D8" s="77" t="s">
        <v>3</v>
      </c>
      <c r="E8" s="73" t="s">
        <v>27</v>
      </c>
      <c r="F8" s="73" t="s">
        <v>30</v>
      </c>
      <c r="G8" s="38" t="s">
        <v>59</v>
      </c>
      <c r="H8" s="73">
        <v>70</v>
      </c>
      <c r="I8" s="73">
        <v>70</v>
      </c>
      <c r="J8" s="39">
        <v>241</v>
      </c>
      <c r="K8" s="39">
        <v>179</v>
      </c>
      <c r="L8" s="39">
        <v>143</v>
      </c>
      <c r="M8" s="39">
        <v>61</v>
      </c>
      <c r="N8" s="39">
        <v>139</v>
      </c>
      <c r="O8" s="39">
        <v>150</v>
      </c>
      <c r="P8" s="39">
        <v>137</v>
      </c>
      <c r="Q8" s="39">
        <v>139</v>
      </c>
      <c r="R8" s="39">
        <v>160</v>
      </c>
      <c r="S8" s="39">
        <v>150</v>
      </c>
      <c r="T8" s="39">
        <v>120</v>
      </c>
      <c r="U8" s="39">
        <v>149</v>
      </c>
      <c r="V8" s="39">
        <v>137</v>
      </c>
      <c r="W8" s="39">
        <v>191</v>
      </c>
      <c r="X8" s="39">
        <v>208</v>
      </c>
      <c r="Y8" s="39">
        <v>200</v>
      </c>
      <c r="Z8" s="39">
        <v>141</v>
      </c>
      <c r="AA8" s="39">
        <v>163</v>
      </c>
      <c r="AB8" s="39">
        <v>107</v>
      </c>
      <c r="AC8" s="39">
        <v>58</v>
      </c>
      <c r="AD8" s="39">
        <v>147</v>
      </c>
      <c r="AE8" s="39">
        <v>201</v>
      </c>
      <c r="AF8" s="39">
        <v>208</v>
      </c>
      <c r="AG8" s="39">
        <v>142</v>
      </c>
      <c r="AH8" s="39">
        <v>140</v>
      </c>
      <c r="AI8" s="39">
        <v>142</v>
      </c>
      <c r="AJ8" s="39">
        <v>159</v>
      </c>
      <c r="AK8" s="39">
        <v>146</v>
      </c>
      <c r="AL8" s="39">
        <v>168</v>
      </c>
      <c r="AM8" s="39"/>
      <c r="AN8" s="40">
        <f t="shared" si="0"/>
        <v>4426</v>
      </c>
      <c r="AO8" s="41">
        <f>'⚙ Настройки'!C9</f>
        <v>14</v>
      </c>
      <c r="AP8" s="42">
        <f>IFERROR(AN9/AN8*100,0)</f>
        <v>13.372797107998192</v>
      </c>
      <c r="AQ8" s="42">
        <f>IFERROR(AN8*AO8/100,0)</f>
        <v>619.64</v>
      </c>
      <c r="AR8" s="42">
        <f>AN9</f>
        <v>591.88</v>
      </c>
      <c r="AS8" s="42">
        <f>AQ8-AR8</f>
        <v>27.759999999999991</v>
      </c>
      <c r="AT8" s="43">
        <f>IFERROR((AR8-AQ8)/AQ8*100,0)</f>
        <v>-4.4800206571557668</v>
      </c>
      <c r="AU8" s="41">
        <f>AR8*'⚙ Настройки'!C10</f>
        <v>139683.68</v>
      </c>
      <c r="AV8" s="44" t="str">
        <f>IF(AN8=0,"—",IF(AT8&lt;='⚙ Настройки'!C11,"✅ ОК","⚠️ ПЕРЕРАСХОД"))</f>
        <v>✅ ОК</v>
      </c>
    </row>
    <row r="9" spans="1:48" ht="18" customHeight="1" x14ac:dyDescent="0.3">
      <c r="A9" s="68"/>
      <c r="B9" s="68"/>
      <c r="C9" s="68"/>
      <c r="D9" s="68"/>
      <c r="E9" s="68"/>
      <c r="F9" s="68"/>
      <c r="G9" s="45" t="s">
        <v>111</v>
      </c>
      <c r="H9" s="68"/>
      <c r="I9" s="68"/>
      <c r="J9" s="46">
        <v>42.2</v>
      </c>
      <c r="K9" s="46">
        <v>42.2</v>
      </c>
      <c r="L9" s="46"/>
      <c r="M9" s="46"/>
      <c r="N9" s="46"/>
      <c r="O9" s="46">
        <v>42.2</v>
      </c>
      <c r="P9" s="46"/>
      <c r="Q9" s="46">
        <v>42.2</v>
      </c>
      <c r="R9" s="46"/>
      <c r="S9" s="46">
        <v>42.2</v>
      </c>
      <c r="T9" s="46"/>
      <c r="U9" s="46">
        <v>42.2</v>
      </c>
      <c r="V9" s="46"/>
      <c r="W9" s="46">
        <v>42.38</v>
      </c>
      <c r="X9" s="46"/>
      <c r="Y9" s="46">
        <v>42.38</v>
      </c>
      <c r="Z9" s="46">
        <v>42.38</v>
      </c>
      <c r="AA9" s="46"/>
      <c r="AB9" s="46"/>
      <c r="AC9" s="46">
        <v>42.38</v>
      </c>
      <c r="AD9" s="46"/>
      <c r="AE9" s="46">
        <v>42.38</v>
      </c>
      <c r="AF9" s="46">
        <v>42.38</v>
      </c>
      <c r="AG9" s="46"/>
      <c r="AH9" s="46">
        <v>42.38</v>
      </c>
      <c r="AI9" s="46"/>
      <c r="AJ9" s="46">
        <v>42.02</v>
      </c>
      <c r="AK9" s="46"/>
      <c r="AL9" s="46" t="s">
        <v>314</v>
      </c>
      <c r="AM9" s="46"/>
      <c r="AN9" s="47">
        <f t="shared" si="0"/>
        <v>591.88</v>
      </c>
      <c r="AO9" s="18"/>
      <c r="AP9" s="15"/>
      <c r="AQ9" s="18"/>
      <c r="AR9" s="15"/>
      <c r="AS9" s="15"/>
      <c r="AT9" s="15"/>
      <c r="AU9" s="15"/>
      <c r="AV9" s="15"/>
    </row>
    <row r="10" spans="1:48" ht="16.95" customHeight="1" x14ac:dyDescent="0.3">
      <c r="A10" s="79" t="s">
        <v>313</v>
      </c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9">
        <f t="shared" si="0"/>
        <v>0</v>
      </c>
    </row>
    <row r="11" spans="1:48" ht="16.95" customHeight="1" x14ac:dyDescent="0.3">
      <c r="A11" s="8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>
        <v>7500</v>
      </c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1">
        <f t="shared" si="0"/>
        <v>7500</v>
      </c>
    </row>
    <row r="12" spans="1:48" ht="19.5" customHeight="1" x14ac:dyDescent="0.3">
      <c r="A12" s="77" t="s">
        <v>113</v>
      </c>
      <c r="B12" s="72" t="s">
        <v>25</v>
      </c>
      <c r="C12" s="72" t="s">
        <v>58</v>
      </c>
      <c r="D12" s="77" t="s">
        <v>4</v>
      </c>
      <c r="E12" s="73" t="s">
        <v>27</v>
      </c>
      <c r="F12" s="73" t="s">
        <v>31</v>
      </c>
      <c r="G12" s="38" t="s">
        <v>59</v>
      </c>
      <c r="H12" s="73">
        <v>70</v>
      </c>
      <c r="I12" s="73">
        <v>70</v>
      </c>
      <c r="J12" s="39">
        <v>121</v>
      </c>
      <c r="K12" s="39">
        <v>135</v>
      </c>
      <c r="L12" s="39">
        <v>149</v>
      </c>
      <c r="M12" s="39">
        <v>115</v>
      </c>
      <c r="N12" s="39">
        <v>100</v>
      </c>
      <c r="O12" s="39">
        <v>115</v>
      </c>
      <c r="P12" s="39">
        <v>164</v>
      </c>
      <c r="Q12" s="39">
        <v>166</v>
      </c>
      <c r="R12" s="39">
        <v>156</v>
      </c>
      <c r="S12" s="39">
        <v>174</v>
      </c>
      <c r="T12" s="39">
        <v>97</v>
      </c>
      <c r="U12" s="39">
        <v>135</v>
      </c>
      <c r="V12" s="39">
        <v>131</v>
      </c>
      <c r="W12" s="39">
        <v>103</v>
      </c>
      <c r="X12" s="39">
        <v>155</v>
      </c>
      <c r="Y12" s="39">
        <v>131</v>
      </c>
      <c r="Z12" s="39">
        <v>119</v>
      </c>
      <c r="AA12" s="39">
        <v>103</v>
      </c>
      <c r="AB12" s="39">
        <v>71</v>
      </c>
      <c r="AC12" s="39">
        <v>138</v>
      </c>
      <c r="AD12" s="39">
        <v>127</v>
      </c>
      <c r="AE12" s="39">
        <v>158</v>
      </c>
      <c r="AF12" s="39">
        <v>137</v>
      </c>
      <c r="AG12" s="39">
        <v>106</v>
      </c>
      <c r="AH12" s="39">
        <v>108</v>
      </c>
      <c r="AI12" s="39">
        <v>109</v>
      </c>
      <c r="AJ12" s="39">
        <v>128</v>
      </c>
      <c r="AK12" s="39">
        <v>130</v>
      </c>
      <c r="AL12" s="39">
        <v>117</v>
      </c>
      <c r="AM12" s="39"/>
      <c r="AN12" s="40">
        <f t="shared" si="0"/>
        <v>3698</v>
      </c>
      <c r="AO12" s="41">
        <f>'⚙ Настройки'!D9</f>
        <v>14</v>
      </c>
      <c r="AP12" s="42">
        <f>IFERROR(AN13/AN12*100,0)</f>
        <v>11.460248783126016</v>
      </c>
      <c r="AQ12" s="42">
        <f>IFERROR(AN12*AO12/100,0)</f>
        <v>517.72</v>
      </c>
      <c r="AR12" s="42">
        <f>AN13</f>
        <v>423.8</v>
      </c>
      <c r="AS12" s="42">
        <f>AQ12-AR12</f>
        <v>93.920000000000016</v>
      </c>
      <c r="AT12" s="43">
        <f>IFERROR((AR12-AQ12)/AQ12*100,0)</f>
        <v>-18.141080120528475</v>
      </c>
      <c r="AU12" s="41">
        <f>AR12*'⚙ Настройки'!D10</f>
        <v>100016.8</v>
      </c>
      <c r="AV12" s="44" t="str">
        <f>IF(AN12=0,"—",IF(AT12&lt;='⚙ Настройки'!D11,"✅ ОК","⚠️ ПЕРЕРАСХОД"))</f>
        <v>✅ ОК</v>
      </c>
    </row>
    <row r="13" spans="1:48" ht="18" customHeight="1" x14ac:dyDescent="0.3">
      <c r="A13" s="68"/>
      <c r="B13" s="68"/>
      <c r="C13" s="68"/>
      <c r="D13" s="68"/>
      <c r="E13" s="68"/>
      <c r="F13" s="68"/>
      <c r="G13" s="45" t="s">
        <v>111</v>
      </c>
      <c r="H13" s="68"/>
      <c r="I13" s="68"/>
      <c r="J13" s="46"/>
      <c r="K13" s="46"/>
      <c r="L13" s="46"/>
      <c r="M13" s="46"/>
      <c r="N13" s="46"/>
      <c r="O13" s="46"/>
      <c r="P13" s="46">
        <v>42.38</v>
      </c>
      <c r="Q13" s="46"/>
      <c r="R13" s="46">
        <v>42.38</v>
      </c>
      <c r="S13" s="46"/>
      <c r="T13" s="46"/>
      <c r="U13" s="46"/>
      <c r="V13" s="46">
        <v>42.38</v>
      </c>
      <c r="W13" s="46"/>
      <c r="X13" s="46"/>
      <c r="Y13" s="46"/>
      <c r="Z13" s="46">
        <v>42.38</v>
      </c>
      <c r="AA13" s="46"/>
      <c r="AB13" s="46">
        <v>42.38</v>
      </c>
      <c r="AC13" s="46"/>
      <c r="AD13" s="46">
        <v>42.38</v>
      </c>
      <c r="AE13" s="46">
        <v>42.38</v>
      </c>
      <c r="AF13" s="46"/>
      <c r="AG13" s="46"/>
      <c r="AH13" s="46">
        <v>42.38</v>
      </c>
      <c r="AI13" s="46"/>
      <c r="AJ13" s="46">
        <v>42.38</v>
      </c>
      <c r="AK13" s="46"/>
      <c r="AL13" s="46"/>
      <c r="AM13" s="46">
        <v>42.38</v>
      </c>
      <c r="AN13" s="47">
        <f t="shared" si="0"/>
        <v>423.8</v>
      </c>
      <c r="AO13" s="18"/>
      <c r="AP13" s="15"/>
      <c r="AQ13" s="18"/>
      <c r="AR13" s="15"/>
      <c r="AS13" s="15"/>
      <c r="AT13" s="15"/>
      <c r="AU13" s="15"/>
      <c r="AV13" s="15"/>
    </row>
    <row r="14" spans="1:48" ht="16.95" customHeight="1" x14ac:dyDescent="0.3">
      <c r="A14" s="79" t="s">
        <v>312</v>
      </c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9">
        <f t="shared" si="0"/>
        <v>0</v>
      </c>
    </row>
    <row r="15" spans="1:48" ht="16.95" customHeight="1" x14ac:dyDescent="0.3">
      <c r="A15" s="8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1">
        <f t="shared" si="0"/>
        <v>0</v>
      </c>
    </row>
    <row r="16" spans="1:48" ht="21" customHeight="1" x14ac:dyDescent="0.3">
      <c r="A16" s="83" t="s">
        <v>114</v>
      </c>
      <c r="B16" s="62"/>
      <c r="C16" s="62"/>
      <c r="D16" s="62"/>
      <c r="E16" s="62"/>
      <c r="F16" s="62"/>
      <c r="G16" s="62"/>
      <c r="H16" s="62"/>
      <c r="I16" s="62"/>
      <c r="J16" s="52">
        <f t="shared" ref="J16:AN16" si="1">J4+J8+J12</f>
        <v>391</v>
      </c>
      <c r="K16" s="52">
        <f t="shared" si="1"/>
        <v>314</v>
      </c>
      <c r="L16" s="52">
        <f t="shared" si="1"/>
        <v>341</v>
      </c>
      <c r="M16" s="52">
        <f t="shared" si="1"/>
        <v>176</v>
      </c>
      <c r="N16" s="52">
        <f t="shared" si="1"/>
        <v>239</v>
      </c>
      <c r="O16" s="52">
        <f t="shared" si="1"/>
        <v>300</v>
      </c>
      <c r="P16" s="52">
        <f t="shared" si="1"/>
        <v>392</v>
      </c>
      <c r="Q16" s="52">
        <f t="shared" si="1"/>
        <v>350</v>
      </c>
      <c r="R16" s="52">
        <f t="shared" si="1"/>
        <v>355</v>
      </c>
      <c r="S16" s="52">
        <f t="shared" si="1"/>
        <v>384</v>
      </c>
      <c r="T16" s="52">
        <f t="shared" si="1"/>
        <v>217</v>
      </c>
      <c r="U16" s="52">
        <f t="shared" si="1"/>
        <v>284</v>
      </c>
      <c r="V16" s="52">
        <f t="shared" si="1"/>
        <v>283</v>
      </c>
      <c r="W16" s="52">
        <f t="shared" si="1"/>
        <v>346</v>
      </c>
      <c r="X16" s="52">
        <f t="shared" si="1"/>
        <v>437</v>
      </c>
      <c r="Y16" s="52">
        <f t="shared" si="1"/>
        <v>369</v>
      </c>
      <c r="Z16" s="52">
        <f t="shared" si="1"/>
        <v>296</v>
      </c>
      <c r="AA16" s="52">
        <f t="shared" si="1"/>
        <v>266</v>
      </c>
      <c r="AB16" s="52">
        <f t="shared" si="1"/>
        <v>178</v>
      </c>
      <c r="AC16" s="52">
        <f t="shared" si="1"/>
        <v>229</v>
      </c>
      <c r="AD16" s="52">
        <f t="shared" si="1"/>
        <v>342</v>
      </c>
      <c r="AE16" s="52">
        <f t="shared" si="1"/>
        <v>422</v>
      </c>
      <c r="AF16" s="52">
        <f t="shared" si="1"/>
        <v>405</v>
      </c>
      <c r="AG16" s="52">
        <f t="shared" si="1"/>
        <v>305</v>
      </c>
      <c r="AH16" s="52">
        <f t="shared" si="1"/>
        <v>248</v>
      </c>
      <c r="AI16" s="52">
        <f t="shared" si="1"/>
        <v>251</v>
      </c>
      <c r="AJ16" s="52">
        <f t="shared" si="1"/>
        <v>330</v>
      </c>
      <c r="AK16" s="52">
        <f t="shared" si="1"/>
        <v>319</v>
      </c>
      <c r="AL16" s="52">
        <f t="shared" si="1"/>
        <v>294</v>
      </c>
      <c r="AM16" s="52">
        <f t="shared" si="1"/>
        <v>0</v>
      </c>
      <c r="AN16" s="53">
        <f t="shared" si="1"/>
        <v>9063</v>
      </c>
      <c r="AO16" s="86" t="s">
        <v>115</v>
      </c>
      <c r="AP16" s="87"/>
      <c r="AQ16" s="87"/>
      <c r="AR16" s="87"/>
      <c r="AS16" s="87"/>
      <c r="AT16" s="84">
        <f>AU4+AU8+AU12</f>
        <v>279610.44</v>
      </c>
      <c r="AU16" s="85"/>
      <c r="AV16" s="85"/>
    </row>
    <row r="17" spans="1:40" ht="18" customHeight="1" x14ac:dyDescent="0.3">
      <c r="A17" s="83" t="s">
        <v>116</v>
      </c>
      <c r="B17" s="62"/>
      <c r="C17" s="62"/>
      <c r="D17" s="62"/>
      <c r="E17" s="62"/>
      <c r="F17" s="62"/>
      <c r="G17" s="62"/>
      <c r="H17" s="62"/>
      <c r="I17" s="62"/>
      <c r="J17" s="54">
        <f t="shared" ref="J17:AN17" si="2">J5+J9+J13</f>
        <v>42.2</v>
      </c>
      <c r="K17" s="54">
        <f t="shared" si="2"/>
        <v>42.2</v>
      </c>
      <c r="L17" s="54">
        <f t="shared" si="2"/>
        <v>42</v>
      </c>
      <c r="M17" s="54">
        <f t="shared" si="2"/>
        <v>0</v>
      </c>
      <c r="N17" s="54">
        <f t="shared" si="2"/>
        <v>0</v>
      </c>
      <c r="O17" s="54">
        <f t="shared" si="2"/>
        <v>42.2</v>
      </c>
      <c r="P17" s="54">
        <f t="shared" si="2"/>
        <v>42.38</v>
      </c>
      <c r="Q17" s="54">
        <f t="shared" si="2"/>
        <v>42.2</v>
      </c>
      <c r="R17" s="54">
        <f t="shared" si="2"/>
        <v>84.76</v>
      </c>
      <c r="S17" s="54">
        <f t="shared" si="2"/>
        <v>42.2</v>
      </c>
      <c r="T17" s="54">
        <f t="shared" si="2"/>
        <v>0</v>
      </c>
      <c r="U17" s="54">
        <f t="shared" si="2"/>
        <v>42.2</v>
      </c>
      <c r="V17" s="54">
        <f t="shared" si="2"/>
        <v>42.38</v>
      </c>
      <c r="W17" s="54">
        <f t="shared" si="2"/>
        <v>42.38</v>
      </c>
      <c r="X17" s="54">
        <f t="shared" si="2"/>
        <v>0</v>
      </c>
      <c r="Y17" s="54">
        <f t="shared" si="2"/>
        <v>84.73</v>
      </c>
      <c r="Z17" s="54">
        <f t="shared" si="2"/>
        <v>84.76</v>
      </c>
      <c r="AA17" s="54">
        <f t="shared" si="2"/>
        <v>0</v>
      </c>
      <c r="AB17" s="54">
        <f t="shared" si="2"/>
        <v>42.38</v>
      </c>
      <c r="AC17" s="54">
        <f t="shared" si="2"/>
        <v>42.38</v>
      </c>
      <c r="AD17" s="54">
        <f t="shared" si="2"/>
        <v>42.38</v>
      </c>
      <c r="AE17" s="54">
        <f t="shared" si="2"/>
        <v>84.76</v>
      </c>
      <c r="AF17" s="54">
        <f t="shared" si="2"/>
        <v>84.76</v>
      </c>
      <c r="AG17" s="54">
        <f t="shared" si="2"/>
        <v>0</v>
      </c>
      <c r="AH17" s="54">
        <f t="shared" si="2"/>
        <v>84.76</v>
      </c>
      <c r="AI17" s="54">
        <f t="shared" si="2"/>
        <v>0</v>
      </c>
      <c r="AJ17" s="54">
        <f t="shared" si="2"/>
        <v>84.4</v>
      </c>
      <c r="AK17" s="54">
        <f t="shared" si="2"/>
        <v>0</v>
      </c>
      <c r="AL17" s="54" t="e">
        <f t="shared" si="2"/>
        <v>#VALUE!</v>
      </c>
      <c r="AM17" s="54">
        <f t="shared" si="2"/>
        <v>42.38</v>
      </c>
      <c r="AN17" s="53">
        <f t="shared" si="2"/>
        <v>1184.79</v>
      </c>
    </row>
    <row r="18" spans="1:40" ht="18" customHeight="1" x14ac:dyDescent="0.3">
      <c r="A18" s="81" t="s">
        <v>117</v>
      </c>
      <c r="B18" s="60"/>
      <c r="C18" s="60"/>
      <c r="D18" s="60"/>
      <c r="E18" s="60"/>
      <c r="F18" s="60"/>
      <c r="G18" s="60"/>
      <c r="H18" s="60"/>
      <c r="I18" s="60"/>
      <c r="J18" s="55">
        <f t="shared" ref="J18:AN18" si="3">J6+J10+J14</f>
        <v>0</v>
      </c>
      <c r="K18" s="55">
        <f t="shared" si="3"/>
        <v>0</v>
      </c>
      <c r="L18" s="55">
        <f t="shared" si="3"/>
        <v>0</v>
      </c>
      <c r="M18" s="55">
        <f t="shared" si="3"/>
        <v>0</v>
      </c>
      <c r="N18" s="55">
        <f t="shared" si="3"/>
        <v>0</v>
      </c>
      <c r="O18" s="55">
        <f t="shared" si="3"/>
        <v>0</v>
      </c>
      <c r="P18" s="55">
        <f t="shared" si="3"/>
        <v>0</v>
      </c>
      <c r="Q18" s="55">
        <f t="shared" si="3"/>
        <v>0</v>
      </c>
      <c r="R18" s="55">
        <f t="shared" si="3"/>
        <v>0</v>
      </c>
      <c r="S18" s="55">
        <f t="shared" si="3"/>
        <v>0</v>
      </c>
      <c r="T18" s="55">
        <f t="shared" si="3"/>
        <v>0</v>
      </c>
      <c r="U18" s="55">
        <f t="shared" si="3"/>
        <v>0</v>
      </c>
      <c r="V18" s="55">
        <f t="shared" si="3"/>
        <v>0</v>
      </c>
      <c r="W18" s="55">
        <f t="shared" si="3"/>
        <v>0</v>
      </c>
      <c r="X18" s="55">
        <f t="shared" si="3"/>
        <v>0</v>
      </c>
      <c r="Y18" s="55">
        <f t="shared" si="3"/>
        <v>0</v>
      </c>
      <c r="Z18" s="55">
        <f t="shared" si="3"/>
        <v>0</v>
      </c>
      <c r="AA18" s="55">
        <f t="shared" si="3"/>
        <v>0</v>
      </c>
      <c r="AB18" s="55">
        <f t="shared" si="3"/>
        <v>0</v>
      </c>
      <c r="AC18" s="55">
        <f t="shared" si="3"/>
        <v>0</v>
      </c>
      <c r="AD18" s="55">
        <f t="shared" si="3"/>
        <v>0</v>
      </c>
      <c r="AE18" s="55">
        <f t="shared" si="3"/>
        <v>0</v>
      </c>
      <c r="AF18" s="55">
        <f t="shared" si="3"/>
        <v>0</v>
      </c>
      <c r="AG18" s="55">
        <f t="shared" si="3"/>
        <v>0</v>
      </c>
      <c r="AH18" s="55">
        <f t="shared" si="3"/>
        <v>0</v>
      </c>
      <c r="AI18" s="55">
        <f t="shared" si="3"/>
        <v>0</v>
      </c>
      <c r="AJ18" s="55">
        <f t="shared" si="3"/>
        <v>0</v>
      </c>
      <c r="AK18" s="55">
        <f t="shared" si="3"/>
        <v>0</v>
      </c>
      <c r="AL18" s="55">
        <f t="shared" si="3"/>
        <v>0</v>
      </c>
      <c r="AM18" s="55">
        <f t="shared" si="3"/>
        <v>0</v>
      </c>
      <c r="AN18" s="56">
        <f t="shared" si="3"/>
        <v>0</v>
      </c>
    </row>
    <row r="19" spans="1:40" ht="18" customHeight="1" x14ac:dyDescent="0.3">
      <c r="A19" s="78" t="s">
        <v>118</v>
      </c>
      <c r="B19" s="60"/>
      <c r="C19" s="60"/>
      <c r="D19" s="60"/>
      <c r="E19" s="60"/>
      <c r="F19" s="60"/>
      <c r="G19" s="60"/>
      <c r="H19" s="60"/>
      <c r="I19" s="60"/>
      <c r="J19" s="57">
        <f t="shared" ref="J19:AN19" si="4">J7+J11+J15</f>
        <v>0</v>
      </c>
      <c r="K19" s="57">
        <f t="shared" si="4"/>
        <v>0</v>
      </c>
      <c r="L19" s="57">
        <f t="shared" si="4"/>
        <v>0</v>
      </c>
      <c r="M19" s="57">
        <f t="shared" si="4"/>
        <v>0</v>
      </c>
      <c r="N19" s="57">
        <f t="shared" si="4"/>
        <v>0</v>
      </c>
      <c r="O19" s="57">
        <f t="shared" si="4"/>
        <v>0</v>
      </c>
      <c r="P19" s="57">
        <f t="shared" si="4"/>
        <v>0</v>
      </c>
      <c r="Q19" s="57">
        <f t="shared" si="4"/>
        <v>0</v>
      </c>
      <c r="R19" s="57">
        <f t="shared" si="4"/>
        <v>0</v>
      </c>
      <c r="S19" s="57">
        <f t="shared" si="4"/>
        <v>0</v>
      </c>
      <c r="T19" s="57">
        <f t="shared" si="4"/>
        <v>0</v>
      </c>
      <c r="U19" s="57">
        <f t="shared" si="4"/>
        <v>0</v>
      </c>
      <c r="V19" s="57">
        <f t="shared" si="4"/>
        <v>0</v>
      </c>
      <c r="W19" s="57">
        <f t="shared" si="4"/>
        <v>0</v>
      </c>
      <c r="X19" s="57">
        <f t="shared" si="4"/>
        <v>0</v>
      </c>
      <c r="Y19" s="57">
        <f t="shared" si="4"/>
        <v>0</v>
      </c>
      <c r="Z19" s="57">
        <f t="shared" si="4"/>
        <v>0</v>
      </c>
      <c r="AA19" s="57">
        <f t="shared" si="4"/>
        <v>7500</v>
      </c>
      <c r="AB19" s="57">
        <f t="shared" si="4"/>
        <v>0</v>
      </c>
      <c r="AC19" s="57">
        <f t="shared" si="4"/>
        <v>0</v>
      </c>
      <c r="AD19" s="57">
        <f t="shared" si="4"/>
        <v>0</v>
      </c>
      <c r="AE19" s="57">
        <f t="shared" si="4"/>
        <v>0</v>
      </c>
      <c r="AF19" s="57">
        <f t="shared" si="4"/>
        <v>0</v>
      </c>
      <c r="AG19" s="57">
        <f t="shared" si="4"/>
        <v>0</v>
      </c>
      <c r="AH19" s="57">
        <f t="shared" si="4"/>
        <v>0</v>
      </c>
      <c r="AI19" s="57">
        <f t="shared" si="4"/>
        <v>0</v>
      </c>
      <c r="AJ19" s="57">
        <f t="shared" si="4"/>
        <v>0</v>
      </c>
      <c r="AK19" s="57">
        <f t="shared" si="4"/>
        <v>0</v>
      </c>
      <c r="AL19" s="57">
        <f t="shared" si="4"/>
        <v>0</v>
      </c>
      <c r="AM19" s="57">
        <f t="shared" si="4"/>
        <v>0</v>
      </c>
      <c r="AN19" s="58">
        <f t="shared" si="4"/>
        <v>7500</v>
      </c>
    </row>
  </sheetData>
  <mergeCells count="37">
    <mergeCell ref="AT16:AV16"/>
    <mergeCell ref="B4:B5"/>
    <mergeCell ref="H8:H9"/>
    <mergeCell ref="F4:F5"/>
    <mergeCell ref="E12:E13"/>
    <mergeCell ref="H4:H5"/>
    <mergeCell ref="A16:I16"/>
    <mergeCell ref="AO16:AS16"/>
    <mergeCell ref="A19:I19"/>
    <mergeCell ref="I8:I9"/>
    <mergeCell ref="C8:C9"/>
    <mergeCell ref="A4:A5"/>
    <mergeCell ref="H12:H13"/>
    <mergeCell ref="I4:I5"/>
    <mergeCell ref="D8:D9"/>
    <mergeCell ref="A10:A11"/>
    <mergeCell ref="B8:B9"/>
    <mergeCell ref="A18:I18"/>
    <mergeCell ref="A6:A7"/>
    <mergeCell ref="A17:I17"/>
    <mergeCell ref="D12:D13"/>
    <mergeCell ref="A14:A15"/>
    <mergeCell ref="A8:A9"/>
    <mergeCell ref="A1:AV1"/>
    <mergeCell ref="C4:C5"/>
    <mergeCell ref="B12:B13"/>
    <mergeCell ref="E4:E5"/>
    <mergeCell ref="F12:F13"/>
    <mergeCell ref="AN2:AV2"/>
    <mergeCell ref="I12:I13"/>
    <mergeCell ref="J2:AM2"/>
    <mergeCell ref="E8:E9"/>
    <mergeCell ref="A2:I2"/>
    <mergeCell ref="F8:F9"/>
    <mergeCell ref="A12:A13"/>
    <mergeCell ref="D4:D5"/>
    <mergeCell ref="C12:C13"/>
  </mergeCells>
  <conditionalFormatting sqref="J6:AM6">
    <cfRule type="expression" dxfId="71" priority="1" stopIfTrue="1">
      <formula>J6&gt;0</formula>
    </cfRule>
  </conditionalFormatting>
  <conditionalFormatting sqref="J7:AM7">
    <cfRule type="expression" dxfId="70" priority="2" stopIfTrue="1">
      <formula>J7&gt;0</formula>
    </cfRule>
  </conditionalFormatting>
  <conditionalFormatting sqref="J10:AM10">
    <cfRule type="expression" dxfId="69" priority="3" stopIfTrue="1">
      <formula>J10&gt;0</formula>
    </cfRule>
  </conditionalFormatting>
  <conditionalFormatting sqref="J11:AM11">
    <cfRule type="expression" dxfId="68" priority="4" stopIfTrue="1">
      <formula>J11&gt;0</formula>
    </cfRule>
  </conditionalFormatting>
  <conditionalFormatting sqref="J14:AM14">
    <cfRule type="expression" dxfId="67" priority="5" stopIfTrue="1">
      <formula>J14&gt;0</formula>
    </cfRule>
  </conditionalFormatting>
  <conditionalFormatting sqref="J15:AM15">
    <cfRule type="expression" dxfId="66" priority="6" stopIfTrue="1">
      <formula>J15&gt;0</formula>
    </cfRule>
  </conditionalFormatting>
  <conditionalFormatting sqref="J18:AM18">
    <cfRule type="expression" dxfId="65" priority="7" stopIfTrue="1">
      <formula>J18&gt;0</formula>
    </cfRule>
  </conditionalFormatting>
  <conditionalFormatting sqref="J19:AM19">
    <cfRule type="expression" dxfId="64" priority="8" stopIfTrue="1">
      <formula>J19&gt;0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9"/>
  <sheetViews>
    <sheetView tabSelected="1" zoomScaleNormal="100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N13" sqref="N13"/>
    </sheetView>
  </sheetViews>
  <sheetFormatPr defaultColWidth="8.6640625" defaultRowHeight="14.4" x14ac:dyDescent="0.3"/>
  <cols>
    <col min="1" max="1" width="10.33203125" customWidth="1"/>
    <col min="2" max="2" width="9.88671875" customWidth="1"/>
    <col min="3" max="3" width="10.88671875" customWidth="1"/>
    <col min="4" max="4" width="7.6640625" customWidth="1"/>
    <col min="5" max="5" width="9.6640625" customWidth="1"/>
    <col min="6" max="6" width="18.44140625" customWidth="1"/>
    <col min="7" max="7" width="7.44140625" customWidth="1"/>
    <col min="8" max="8" width="3.77734375" customWidth="1"/>
    <col min="9" max="9" width="7.109375" customWidth="1"/>
    <col min="10" max="40" width="7" customWidth="1"/>
    <col min="41" max="49" width="14" customWidth="1"/>
  </cols>
  <sheetData>
    <row r="1" spans="1:49" ht="30" customHeight="1" x14ac:dyDescent="0.3">
      <c r="A1" s="71" t="s">
        <v>119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</row>
    <row r="2" spans="1:49" ht="21.75" customHeight="1" x14ac:dyDescent="0.3">
      <c r="A2" s="76" t="s">
        <v>63</v>
      </c>
      <c r="B2" s="60"/>
      <c r="C2" s="60"/>
      <c r="D2" s="60"/>
      <c r="E2" s="60"/>
      <c r="F2" s="60"/>
      <c r="G2" s="60"/>
      <c r="H2" s="60"/>
      <c r="I2" s="60"/>
      <c r="J2" s="75" t="s">
        <v>64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74" t="s">
        <v>65</v>
      </c>
      <c r="AP2" s="60"/>
      <c r="AQ2" s="60"/>
      <c r="AR2" s="60"/>
      <c r="AS2" s="60"/>
      <c r="AT2" s="60"/>
      <c r="AU2" s="60"/>
      <c r="AV2" s="60"/>
    </row>
    <row r="3" spans="1:49" ht="42" customHeight="1" x14ac:dyDescent="0.3">
      <c r="A3" s="30" t="s">
        <v>39</v>
      </c>
      <c r="B3" s="30" t="s">
        <v>66</v>
      </c>
      <c r="C3" s="30" t="s">
        <v>40</v>
      </c>
      <c r="D3" s="30" t="s">
        <v>41</v>
      </c>
      <c r="E3" s="30" t="s">
        <v>67</v>
      </c>
      <c r="F3" s="30" t="s">
        <v>68</v>
      </c>
      <c r="G3" s="30" t="s">
        <v>69</v>
      </c>
      <c r="H3" s="30" t="s">
        <v>70</v>
      </c>
      <c r="I3" s="30" t="s">
        <v>71</v>
      </c>
      <c r="J3" s="31" t="s">
        <v>120</v>
      </c>
      <c r="K3" s="32" t="s">
        <v>121</v>
      </c>
      <c r="L3" s="32" t="s">
        <v>122</v>
      </c>
      <c r="M3" s="31" t="s">
        <v>123</v>
      </c>
      <c r="N3" s="31" t="s">
        <v>124</v>
      </c>
      <c r="O3" s="31" t="s">
        <v>125</v>
      </c>
      <c r="P3" s="31" t="s">
        <v>126</v>
      </c>
      <c r="Q3" s="31" t="s">
        <v>127</v>
      </c>
      <c r="R3" s="32" t="s">
        <v>128</v>
      </c>
      <c r="S3" s="32" t="s">
        <v>129</v>
      </c>
      <c r="T3" s="31" t="s">
        <v>130</v>
      </c>
      <c r="U3" s="31" t="s">
        <v>131</v>
      </c>
      <c r="V3" s="31" t="s">
        <v>132</v>
      </c>
      <c r="W3" s="31" t="s">
        <v>133</v>
      </c>
      <c r="X3" s="31" t="s">
        <v>134</v>
      </c>
      <c r="Y3" s="32" t="s">
        <v>135</v>
      </c>
      <c r="Z3" s="32" t="s">
        <v>136</v>
      </c>
      <c r="AA3" s="31" t="s">
        <v>137</v>
      </c>
      <c r="AB3" s="31" t="s">
        <v>138</v>
      </c>
      <c r="AC3" s="31" t="s">
        <v>139</v>
      </c>
      <c r="AD3" s="31" t="s">
        <v>140</v>
      </c>
      <c r="AE3" s="31" t="s">
        <v>141</v>
      </c>
      <c r="AF3" s="32" t="s">
        <v>142</v>
      </c>
      <c r="AG3" s="32" t="s">
        <v>143</v>
      </c>
      <c r="AH3" s="31" t="s">
        <v>144</v>
      </c>
      <c r="AI3" s="31" t="s">
        <v>145</v>
      </c>
      <c r="AJ3" s="31" t="s">
        <v>146</v>
      </c>
      <c r="AK3" s="31" t="s">
        <v>147</v>
      </c>
      <c r="AL3" s="31" t="s">
        <v>148</v>
      </c>
      <c r="AM3" s="32" t="s">
        <v>149</v>
      </c>
      <c r="AN3" s="32" t="s">
        <v>150</v>
      </c>
      <c r="AO3" s="13" t="s">
        <v>102</v>
      </c>
      <c r="AP3" s="13" t="s">
        <v>103</v>
      </c>
      <c r="AQ3" s="13" t="s">
        <v>104</v>
      </c>
      <c r="AR3" s="13" t="s">
        <v>105</v>
      </c>
      <c r="AS3" s="13" t="s">
        <v>106</v>
      </c>
      <c r="AT3" s="13" t="s">
        <v>107</v>
      </c>
      <c r="AU3" s="13" t="s">
        <v>108</v>
      </c>
      <c r="AV3" s="13" t="s">
        <v>109</v>
      </c>
      <c r="AW3" s="13" t="s">
        <v>55</v>
      </c>
    </row>
    <row r="4" spans="1:49" ht="19.5" customHeight="1" x14ac:dyDescent="0.3">
      <c r="A4" s="77" t="s">
        <v>110</v>
      </c>
      <c r="B4" s="72" t="s">
        <v>25</v>
      </c>
      <c r="C4" s="72" t="s">
        <v>58</v>
      </c>
      <c r="D4" s="77" t="s">
        <v>2</v>
      </c>
      <c r="E4" s="73" t="s">
        <v>27</v>
      </c>
      <c r="F4" s="73" t="s">
        <v>29</v>
      </c>
      <c r="G4" s="38" t="s">
        <v>59</v>
      </c>
      <c r="H4" s="73">
        <v>70</v>
      </c>
      <c r="I4" s="73">
        <v>70</v>
      </c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>
        <f t="shared" ref="AO4:AO15" si="0">SUM(J4:AN4)</f>
        <v>0</v>
      </c>
      <c r="AP4" s="41">
        <f>'⚙ Настройки'!B9</f>
        <v>14</v>
      </c>
      <c r="AQ4" s="42">
        <f>IFERROR(AO5/AO4*100,0)</f>
        <v>0</v>
      </c>
      <c r="AR4" s="42">
        <f>IFERROR(AO4*AP4/100,0)</f>
        <v>0</v>
      </c>
      <c r="AS4" s="42">
        <f>AO5</f>
        <v>0</v>
      </c>
      <c r="AT4" s="42">
        <f>AR4-AS4</f>
        <v>0</v>
      </c>
      <c r="AU4" s="43">
        <f>IFERROR((AS4-AR4)/AR4*100,0)</f>
        <v>0</v>
      </c>
      <c r="AV4" s="41">
        <f>AS4*'⚙ Настройки'!B10</f>
        <v>0</v>
      </c>
      <c r="AW4" s="44" t="str">
        <f>IF(AO4=0,"—",IF(AU4&lt;='⚙ Настройки'!B11,"✅ ОК","⚠️ ПЕРЕРАСХОД"))</f>
        <v>—</v>
      </c>
    </row>
    <row r="5" spans="1:49" ht="18" customHeight="1" x14ac:dyDescent="0.3">
      <c r="A5" s="68"/>
      <c r="B5" s="68"/>
      <c r="C5" s="68"/>
      <c r="D5" s="68"/>
      <c r="E5" s="68"/>
      <c r="F5" s="68"/>
      <c r="G5" s="45" t="s">
        <v>111</v>
      </c>
      <c r="H5" s="68"/>
      <c r="I5" s="68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7">
        <f t="shared" si="0"/>
        <v>0</v>
      </c>
      <c r="AP5" s="18"/>
      <c r="AQ5" s="15"/>
      <c r="AR5" s="18"/>
      <c r="AS5" s="15"/>
      <c r="AT5" s="15"/>
      <c r="AU5" s="15"/>
      <c r="AV5" s="15"/>
      <c r="AW5" s="15"/>
    </row>
    <row r="6" spans="1:49" ht="16.95" customHeight="1" x14ac:dyDescent="0.3">
      <c r="A6" s="79" t="s">
        <v>312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9">
        <f t="shared" si="0"/>
        <v>0</v>
      </c>
    </row>
    <row r="7" spans="1:49" ht="16.95" customHeight="1" x14ac:dyDescent="0.3">
      <c r="A7" s="82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1">
        <f t="shared" si="0"/>
        <v>0</v>
      </c>
    </row>
    <row r="8" spans="1:49" ht="19.5" customHeight="1" x14ac:dyDescent="0.3">
      <c r="A8" s="77" t="s">
        <v>112</v>
      </c>
      <c r="B8" s="72" t="s">
        <v>25</v>
      </c>
      <c r="C8" s="72" t="s">
        <v>58</v>
      </c>
      <c r="D8" s="77" t="s">
        <v>3</v>
      </c>
      <c r="E8" s="73" t="s">
        <v>27</v>
      </c>
      <c r="F8" s="73" t="s">
        <v>30</v>
      </c>
      <c r="G8" s="38" t="s">
        <v>59</v>
      </c>
      <c r="H8" s="73">
        <v>70</v>
      </c>
      <c r="I8" s="73">
        <v>70</v>
      </c>
      <c r="J8" s="39">
        <v>101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40">
        <f t="shared" si="0"/>
        <v>101</v>
      </c>
      <c r="AP8" s="41">
        <f>'⚙ Настройки'!C9</f>
        <v>14</v>
      </c>
      <c r="AQ8" s="42">
        <f>IFERROR(AO9/AO8*100,0)</f>
        <v>39.861386138613859</v>
      </c>
      <c r="AR8" s="42">
        <f>IFERROR(AO8*AP8/100,0)</f>
        <v>14.14</v>
      </c>
      <c r="AS8" s="42">
        <f>AO9</f>
        <v>40.26</v>
      </c>
      <c r="AT8" s="42">
        <f>AR8-AS8</f>
        <v>-26.119999999999997</v>
      </c>
      <c r="AU8" s="43">
        <f>IFERROR((AS8-AR8)/AR8*100,0)</f>
        <v>184.72418670438472</v>
      </c>
      <c r="AV8" s="41">
        <f>AS8*'⚙ Настройки'!C10</f>
        <v>9501.3599999999988</v>
      </c>
      <c r="AW8" s="44" t="str">
        <f>IF(AO8=0,"—",IF(AU8&lt;='⚙ Настройки'!C11,"✅ ОК","⚠️ ПЕРЕРАСХОД"))</f>
        <v>⚠️ ПЕРЕРАСХОД</v>
      </c>
    </row>
    <row r="9" spans="1:49" ht="18" customHeight="1" x14ac:dyDescent="0.3">
      <c r="A9" s="68"/>
      <c r="B9" s="68"/>
      <c r="C9" s="68"/>
      <c r="D9" s="68"/>
      <c r="E9" s="68"/>
      <c r="F9" s="68"/>
      <c r="G9" s="45" t="s">
        <v>111</v>
      </c>
      <c r="H9" s="68"/>
      <c r="I9" s="68"/>
      <c r="J9" s="46">
        <v>40.26</v>
      </c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7">
        <f t="shared" si="0"/>
        <v>40.26</v>
      </c>
      <c r="AP9" s="18"/>
      <c r="AQ9" s="15"/>
      <c r="AR9" s="18"/>
      <c r="AS9" s="15"/>
      <c r="AT9" s="15"/>
      <c r="AU9" s="15"/>
      <c r="AV9" s="15"/>
      <c r="AW9" s="15"/>
    </row>
    <row r="10" spans="1:49" ht="16.95" customHeight="1" x14ac:dyDescent="0.3">
      <c r="A10" s="79" t="s">
        <v>312</v>
      </c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9">
        <f t="shared" si="0"/>
        <v>0</v>
      </c>
    </row>
    <row r="11" spans="1:49" ht="16.95" customHeight="1" x14ac:dyDescent="0.3">
      <c r="A11" s="8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1">
        <f t="shared" si="0"/>
        <v>0</v>
      </c>
    </row>
    <row r="12" spans="1:49" ht="19.5" customHeight="1" x14ac:dyDescent="0.3">
      <c r="A12" s="77" t="s">
        <v>113</v>
      </c>
      <c r="B12" s="72" t="s">
        <v>25</v>
      </c>
      <c r="C12" s="72" t="s">
        <v>58</v>
      </c>
      <c r="D12" s="77" t="s">
        <v>4</v>
      </c>
      <c r="E12" s="73" t="s">
        <v>27</v>
      </c>
      <c r="F12" s="73" t="s">
        <v>31</v>
      </c>
      <c r="G12" s="38" t="s">
        <v>59</v>
      </c>
      <c r="H12" s="73">
        <v>70</v>
      </c>
      <c r="I12" s="73">
        <v>70</v>
      </c>
      <c r="J12" s="39">
        <v>120</v>
      </c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40">
        <f t="shared" si="0"/>
        <v>120</v>
      </c>
      <c r="AP12" s="41">
        <f>'⚙ Настройки'!D9</f>
        <v>14</v>
      </c>
      <c r="AQ12" s="42">
        <f>IFERROR(AO13/AO12*100,0)</f>
        <v>0</v>
      </c>
      <c r="AR12" s="42">
        <f>IFERROR(AO12*AP12/100,0)</f>
        <v>16.8</v>
      </c>
      <c r="AS12" s="42">
        <f>AO13</f>
        <v>0</v>
      </c>
      <c r="AT12" s="42">
        <f>AR12-AS12</f>
        <v>16.8</v>
      </c>
      <c r="AU12" s="43">
        <f>IFERROR((AS12-AR12)/AR12*100,0)</f>
        <v>-100</v>
      </c>
      <c r="AV12" s="41">
        <f>AS12*'⚙ Настройки'!D10</f>
        <v>0</v>
      </c>
      <c r="AW12" s="44" t="str">
        <f>IF(AO12=0,"—",IF(AU12&lt;='⚙ Настройки'!D11,"✅ ОК","⚠️ ПЕРЕРАСХОД"))</f>
        <v>✅ ОК</v>
      </c>
    </row>
    <row r="13" spans="1:49" ht="18" customHeight="1" x14ac:dyDescent="0.3">
      <c r="A13" s="68"/>
      <c r="B13" s="68"/>
      <c r="C13" s="68"/>
      <c r="D13" s="68"/>
      <c r="E13" s="68"/>
      <c r="F13" s="68"/>
      <c r="G13" s="45" t="s">
        <v>111</v>
      </c>
      <c r="H13" s="68"/>
      <c r="I13" s="6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7">
        <f t="shared" si="0"/>
        <v>0</v>
      </c>
      <c r="AP13" s="18"/>
      <c r="AQ13" s="15"/>
      <c r="AR13" s="18"/>
      <c r="AS13" s="15"/>
      <c r="AT13" s="15"/>
      <c r="AU13" s="15"/>
      <c r="AV13" s="15"/>
      <c r="AW13" s="15"/>
    </row>
    <row r="14" spans="1:49" ht="16.95" customHeight="1" x14ac:dyDescent="0.3">
      <c r="A14" s="79" t="s">
        <v>312</v>
      </c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9">
        <f t="shared" si="0"/>
        <v>0</v>
      </c>
    </row>
    <row r="15" spans="1:49" ht="16.95" customHeight="1" x14ac:dyDescent="0.3">
      <c r="A15" s="82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1">
        <f t="shared" si="0"/>
        <v>0</v>
      </c>
    </row>
    <row r="16" spans="1:49" ht="21" customHeight="1" x14ac:dyDescent="0.3">
      <c r="A16" s="83" t="s">
        <v>114</v>
      </c>
      <c r="B16" s="62"/>
      <c r="C16" s="62"/>
      <c r="D16" s="62"/>
      <c r="E16" s="62"/>
      <c r="F16" s="62"/>
      <c r="G16" s="62"/>
      <c r="H16" s="62"/>
      <c r="I16" s="62"/>
      <c r="J16" s="52">
        <f t="shared" ref="J16:AO16" si="1">J4+J8+J12</f>
        <v>221</v>
      </c>
      <c r="K16" s="52">
        <f t="shared" si="1"/>
        <v>0</v>
      </c>
      <c r="L16" s="52">
        <f t="shared" si="1"/>
        <v>0</v>
      </c>
      <c r="M16" s="52">
        <f t="shared" si="1"/>
        <v>0</v>
      </c>
      <c r="N16" s="52">
        <f t="shared" si="1"/>
        <v>0</v>
      </c>
      <c r="O16" s="52">
        <f t="shared" si="1"/>
        <v>0</v>
      </c>
      <c r="P16" s="52">
        <f t="shared" si="1"/>
        <v>0</v>
      </c>
      <c r="Q16" s="52">
        <f t="shared" si="1"/>
        <v>0</v>
      </c>
      <c r="R16" s="52">
        <f t="shared" si="1"/>
        <v>0</v>
      </c>
      <c r="S16" s="52">
        <f t="shared" si="1"/>
        <v>0</v>
      </c>
      <c r="T16" s="52">
        <f t="shared" si="1"/>
        <v>0</v>
      </c>
      <c r="U16" s="52">
        <f t="shared" si="1"/>
        <v>0</v>
      </c>
      <c r="V16" s="52">
        <f t="shared" si="1"/>
        <v>0</v>
      </c>
      <c r="W16" s="52">
        <f t="shared" si="1"/>
        <v>0</v>
      </c>
      <c r="X16" s="52">
        <f t="shared" si="1"/>
        <v>0</v>
      </c>
      <c r="Y16" s="52">
        <f t="shared" si="1"/>
        <v>0</v>
      </c>
      <c r="Z16" s="52">
        <f t="shared" si="1"/>
        <v>0</v>
      </c>
      <c r="AA16" s="52">
        <f t="shared" si="1"/>
        <v>0</v>
      </c>
      <c r="AB16" s="52">
        <f t="shared" si="1"/>
        <v>0</v>
      </c>
      <c r="AC16" s="52">
        <f t="shared" si="1"/>
        <v>0</v>
      </c>
      <c r="AD16" s="52">
        <f t="shared" si="1"/>
        <v>0</v>
      </c>
      <c r="AE16" s="52">
        <f t="shared" si="1"/>
        <v>0</v>
      </c>
      <c r="AF16" s="52">
        <f t="shared" si="1"/>
        <v>0</v>
      </c>
      <c r="AG16" s="52">
        <f t="shared" si="1"/>
        <v>0</v>
      </c>
      <c r="AH16" s="52">
        <f t="shared" si="1"/>
        <v>0</v>
      </c>
      <c r="AI16" s="52">
        <f t="shared" si="1"/>
        <v>0</v>
      </c>
      <c r="AJ16" s="52">
        <f t="shared" si="1"/>
        <v>0</v>
      </c>
      <c r="AK16" s="52">
        <f t="shared" si="1"/>
        <v>0</v>
      </c>
      <c r="AL16" s="52">
        <f t="shared" si="1"/>
        <v>0</v>
      </c>
      <c r="AM16" s="52">
        <f t="shared" si="1"/>
        <v>0</v>
      </c>
      <c r="AN16" s="52">
        <f t="shared" si="1"/>
        <v>0</v>
      </c>
      <c r="AO16" s="53">
        <f t="shared" si="1"/>
        <v>221</v>
      </c>
      <c r="AP16" s="86" t="s">
        <v>115</v>
      </c>
      <c r="AQ16" s="87"/>
      <c r="AR16" s="87"/>
      <c r="AS16" s="87"/>
      <c r="AT16" s="87"/>
      <c r="AU16" s="84">
        <f>AU4+AU8+AU12</f>
        <v>84.724186704384721</v>
      </c>
      <c r="AV16" s="85"/>
    </row>
    <row r="17" spans="1:41" ht="18" customHeight="1" x14ac:dyDescent="0.3">
      <c r="A17" s="83" t="s">
        <v>116</v>
      </c>
      <c r="B17" s="62"/>
      <c r="C17" s="62"/>
      <c r="D17" s="62"/>
      <c r="E17" s="62"/>
      <c r="F17" s="62"/>
      <c r="G17" s="62"/>
      <c r="H17" s="62"/>
      <c r="I17" s="62"/>
      <c r="J17" s="54">
        <f t="shared" ref="J17:AO17" si="2">J5+J9+J13</f>
        <v>40.26</v>
      </c>
      <c r="K17" s="54">
        <f t="shared" si="2"/>
        <v>0</v>
      </c>
      <c r="L17" s="54">
        <f t="shared" si="2"/>
        <v>0</v>
      </c>
      <c r="M17" s="54">
        <f t="shared" si="2"/>
        <v>0</v>
      </c>
      <c r="N17" s="54">
        <f t="shared" si="2"/>
        <v>0</v>
      </c>
      <c r="O17" s="54">
        <f t="shared" si="2"/>
        <v>0</v>
      </c>
      <c r="P17" s="54">
        <f t="shared" si="2"/>
        <v>0</v>
      </c>
      <c r="Q17" s="54">
        <f t="shared" si="2"/>
        <v>0</v>
      </c>
      <c r="R17" s="54">
        <f t="shared" si="2"/>
        <v>0</v>
      </c>
      <c r="S17" s="54">
        <f t="shared" si="2"/>
        <v>0</v>
      </c>
      <c r="T17" s="54">
        <f t="shared" si="2"/>
        <v>0</v>
      </c>
      <c r="U17" s="54">
        <f t="shared" si="2"/>
        <v>0</v>
      </c>
      <c r="V17" s="54">
        <f t="shared" si="2"/>
        <v>0</v>
      </c>
      <c r="W17" s="54">
        <f t="shared" si="2"/>
        <v>0</v>
      </c>
      <c r="X17" s="54">
        <f t="shared" si="2"/>
        <v>0</v>
      </c>
      <c r="Y17" s="54">
        <f t="shared" si="2"/>
        <v>0</v>
      </c>
      <c r="Z17" s="54">
        <f t="shared" si="2"/>
        <v>0</v>
      </c>
      <c r="AA17" s="54">
        <f t="shared" si="2"/>
        <v>0</v>
      </c>
      <c r="AB17" s="54">
        <f t="shared" si="2"/>
        <v>0</v>
      </c>
      <c r="AC17" s="54">
        <f t="shared" si="2"/>
        <v>0</v>
      </c>
      <c r="AD17" s="54">
        <f t="shared" si="2"/>
        <v>0</v>
      </c>
      <c r="AE17" s="54">
        <f t="shared" si="2"/>
        <v>0</v>
      </c>
      <c r="AF17" s="54">
        <f t="shared" si="2"/>
        <v>0</v>
      </c>
      <c r="AG17" s="54">
        <f t="shared" si="2"/>
        <v>0</v>
      </c>
      <c r="AH17" s="54">
        <f t="shared" si="2"/>
        <v>0</v>
      </c>
      <c r="AI17" s="54">
        <f t="shared" si="2"/>
        <v>0</v>
      </c>
      <c r="AJ17" s="54">
        <f t="shared" si="2"/>
        <v>0</v>
      </c>
      <c r="AK17" s="54">
        <f t="shared" si="2"/>
        <v>0</v>
      </c>
      <c r="AL17" s="54">
        <f t="shared" si="2"/>
        <v>0</v>
      </c>
      <c r="AM17" s="54">
        <f t="shared" si="2"/>
        <v>0</v>
      </c>
      <c r="AN17" s="54">
        <f t="shared" si="2"/>
        <v>0</v>
      </c>
      <c r="AO17" s="53">
        <f t="shared" si="2"/>
        <v>40.26</v>
      </c>
    </row>
    <row r="18" spans="1:41" ht="18" customHeight="1" x14ac:dyDescent="0.3">
      <c r="A18" s="81" t="s">
        <v>117</v>
      </c>
      <c r="B18" s="60"/>
      <c r="C18" s="60"/>
      <c r="D18" s="60"/>
      <c r="E18" s="60"/>
      <c r="F18" s="60"/>
      <c r="G18" s="60"/>
      <c r="H18" s="60"/>
      <c r="I18" s="60"/>
      <c r="J18" s="55">
        <f t="shared" ref="J18:AO18" si="3">J6+J10+J14</f>
        <v>0</v>
      </c>
      <c r="K18" s="55">
        <f t="shared" si="3"/>
        <v>0</v>
      </c>
      <c r="L18" s="55">
        <f t="shared" si="3"/>
        <v>0</v>
      </c>
      <c r="M18" s="55">
        <f t="shared" si="3"/>
        <v>0</v>
      </c>
      <c r="N18" s="55">
        <f t="shared" si="3"/>
        <v>0</v>
      </c>
      <c r="O18" s="55">
        <f t="shared" si="3"/>
        <v>0</v>
      </c>
      <c r="P18" s="55">
        <f t="shared" si="3"/>
        <v>0</v>
      </c>
      <c r="Q18" s="55">
        <f t="shared" si="3"/>
        <v>0</v>
      </c>
      <c r="R18" s="55">
        <f t="shared" si="3"/>
        <v>0</v>
      </c>
      <c r="S18" s="55">
        <f t="shared" si="3"/>
        <v>0</v>
      </c>
      <c r="T18" s="55">
        <f t="shared" si="3"/>
        <v>0</v>
      </c>
      <c r="U18" s="55">
        <f t="shared" si="3"/>
        <v>0</v>
      </c>
      <c r="V18" s="55">
        <f t="shared" si="3"/>
        <v>0</v>
      </c>
      <c r="W18" s="55">
        <f t="shared" si="3"/>
        <v>0</v>
      </c>
      <c r="X18" s="55">
        <f t="shared" si="3"/>
        <v>0</v>
      </c>
      <c r="Y18" s="55">
        <f t="shared" si="3"/>
        <v>0</v>
      </c>
      <c r="Z18" s="55">
        <f t="shared" si="3"/>
        <v>0</v>
      </c>
      <c r="AA18" s="55">
        <f t="shared" si="3"/>
        <v>0</v>
      </c>
      <c r="AB18" s="55">
        <f t="shared" si="3"/>
        <v>0</v>
      </c>
      <c r="AC18" s="55">
        <f t="shared" si="3"/>
        <v>0</v>
      </c>
      <c r="AD18" s="55">
        <f t="shared" si="3"/>
        <v>0</v>
      </c>
      <c r="AE18" s="55">
        <f t="shared" si="3"/>
        <v>0</v>
      </c>
      <c r="AF18" s="55">
        <f t="shared" si="3"/>
        <v>0</v>
      </c>
      <c r="AG18" s="55">
        <f t="shared" si="3"/>
        <v>0</v>
      </c>
      <c r="AH18" s="55">
        <f t="shared" si="3"/>
        <v>0</v>
      </c>
      <c r="AI18" s="55">
        <f t="shared" si="3"/>
        <v>0</v>
      </c>
      <c r="AJ18" s="55">
        <f t="shared" si="3"/>
        <v>0</v>
      </c>
      <c r="AK18" s="55">
        <f t="shared" si="3"/>
        <v>0</v>
      </c>
      <c r="AL18" s="55">
        <f t="shared" si="3"/>
        <v>0</v>
      </c>
      <c r="AM18" s="55">
        <f t="shared" si="3"/>
        <v>0</v>
      </c>
      <c r="AN18" s="55">
        <f t="shared" si="3"/>
        <v>0</v>
      </c>
      <c r="AO18" s="56">
        <f t="shared" si="3"/>
        <v>0</v>
      </c>
    </row>
    <row r="19" spans="1:41" ht="18" customHeight="1" x14ac:dyDescent="0.3">
      <c r="A19" s="78" t="s">
        <v>118</v>
      </c>
      <c r="B19" s="60"/>
      <c r="C19" s="60"/>
      <c r="D19" s="60"/>
      <c r="E19" s="60"/>
      <c r="F19" s="60"/>
      <c r="G19" s="60"/>
      <c r="H19" s="60"/>
      <c r="I19" s="60"/>
      <c r="J19" s="57">
        <f t="shared" ref="J19:AO19" si="4">J7+J11+J15</f>
        <v>0</v>
      </c>
      <c r="K19" s="57">
        <f t="shared" si="4"/>
        <v>0</v>
      </c>
      <c r="L19" s="57">
        <f t="shared" si="4"/>
        <v>0</v>
      </c>
      <c r="M19" s="57">
        <f t="shared" si="4"/>
        <v>0</v>
      </c>
      <c r="N19" s="57">
        <f t="shared" si="4"/>
        <v>0</v>
      </c>
      <c r="O19" s="57">
        <f t="shared" si="4"/>
        <v>0</v>
      </c>
      <c r="P19" s="57">
        <f t="shared" si="4"/>
        <v>0</v>
      </c>
      <c r="Q19" s="57">
        <f t="shared" si="4"/>
        <v>0</v>
      </c>
      <c r="R19" s="57">
        <f t="shared" si="4"/>
        <v>0</v>
      </c>
      <c r="S19" s="57">
        <f t="shared" si="4"/>
        <v>0</v>
      </c>
      <c r="T19" s="57">
        <f t="shared" si="4"/>
        <v>0</v>
      </c>
      <c r="U19" s="57">
        <f t="shared" si="4"/>
        <v>0</v>
      </c>
      <c r="V19" s="57">
        <f t="shared" si="4"/>
        <v>0</v>
      </c>
      <c r="W19" s="57">
        <f t="shared" si="4"/>
        <v>0</v>
      </c>
      <c r="X19" s="57">
        <f t="shared" si="4"/>
        <v>0</v>
      </c>
      <c r="Y19" s="57">
        <f t="shared" si="4"/>
        <v>0</v>
      </c>
      <c r="Z19" s="57">
        <f t="shared" si="4"/>
        <v>0</v>
      </c>
      <c r="AA19" s="57">
        <f t="shared" si="4"/>
        <v>0</v>
      </c>
      <c r="AB19" s="57">
        <f t="shared" si="4"/>
        <v>0</v>
      </c>
      <c r="AC19" s="57">
        <f t="shared" si="4"/>
        <v>0</v>
      </c>
      <c r="AD19" s="57">
        <f t="shared" si="4"/>
        <v>0</v>
      </c>
      <c r="AE19" s="57">
        <f t="shared" si="4"/>
        <v>0</v>
      </c>
      <c r="AF19" s="57">
        <f t="shared" si="4"/>
        <v>0</v>
      </c>
      <c r="AG19" s="57">
        <f t="shared" si="4"/>
        <v>0</v>
      </c>
      <c r="AH19" s="57">
        <f t="shared" si="4"/>
        <v>0</v>
      </c>
      <c r="AI19" s="57">
        <f t="shared" si="4"/>
        <v>0</v>
      </c>
      <c r="AJ19" s="57">
        <f t="shared" si="4"/>
        <v>0</v>
      </c>
      <c r="AK19" s="57">
        <f t="shared" si="4"/>
        <v>0</v>
      </c>
      <c r="AL19" s="57">
        <f t="shared" si="4"/>
        <v>0</v>
      </c>
      <c r="AM19" s="57">
        <f t="shared" si="4"/>
        <v>0</v>
      </c>
      <c r="AN19" s="57">
        <f t="shared" si="4"/>
        <v>0</v>
      </c>
      <c r="AO19" s="58">
        <f t="shared" si="4"/>
        <v>0</v>
      </c>
    </row>
  </sheetData>
  <mergeCells count="37">
    <mergeCell ref="AU16:AV16"/>
    <mergeCell ref="A10:A11"/>
    <mergeCell ref="B4:B5"/>
    <mergeCell ref="H8:H9"/>
    <mergeCell ref="F4:F5"/>
    <mergeCell ref="E12:E13"/>
    <mergeCell ref="H4:H5"/>
    <mergeCell ref="AP16:AT16"/>
    <mergeCell ref="A16:I16"/>
    <mergeCell ref="E8:E9"/>
    <mergeCell ref="A19:I19"/>
    <mergeCell ref="I8:I9"/>
    <mergeCell ref="C8:C9"/>
    <mergeCell ref="A4:A5"/>
    <mergeCell ref="H12:H13"/>
    <mergeCell ref="I4:I5"/>
    <mergeCell ref="D8:D9"/>
    <mergeCell ref="A18:I18"/>
    <mergeCell ref="A6:A7"/>
    <mergeCell ref="A17:I17"/>
    <mergeCell ref="A14:A15"/>
    <mergeCell ref="A1:AV1"/>
    <mergeCell ref="C4:C5"/>
    <mergeCell ref="AO2:AV2"/>
    <mergeCell ref="B12:B13"/>
    <mergeCell ref="E4:E5"/>
    <mergeCell ref="F12:F13"/>
    <mergeCell ref="B8:B9"/>
    <mergeCell ref="J2:AN2"/>
    <mergeCell ref="A2:I2"/>
    <mergeCell ref="F8:F9"/>
    <mergeCell ref="A12:A13"/>
    <mergeCell ref="D4:D5"/>
    <mergeCell ref="C12:C13"/>
    <mergeCell ref="I12:I13"/>
    <mergeCell ref="D12:D13"/>
    <mergeCell ref="A8:A9"/>
  </mergeCells>
  <conditionalFormatting sqref="J6:AN6">
    <cfRule type="expression" dxfId="63" priority="1" stopIfTrue="1">
      <formula>J6&gt;0</formula>
    </cfRule>
  </conditionalFormatting>
  <conditionalFormatting sqref="J7:AN7">
    <cfRule type="expression" dxfId="62" priority="2" stopIfTrue="1">
      <formula>J7&gt;0</formula>
    </cfRule>
  </conditionalFormatting>
  <conditionalFormatting sqref="J10:AN10">
    <cfRule type="expression" dxfId="61" priority="3" stopIfTrue="1">
      <formula>J10&gt;0</formula>
    </cfRule>
  </conditionalFormatting>
  <conditionalFormatting sqref="J11:AN11">
    <cfRule type="expression" dxfId="60" priority="4" stopIfTrue="1">
      <formula>J11&gt;0</formula>
    </cfRule>
  </conditionalFormatting>
  <conditionalFormatting sqref="J14:AN14">
    <cfRule type="expression" dxfId="59" priority="5" stopIfTrue="1">
      <formula>J14&gt;0</formula>
    </cfRule>
  </conditionalFormatting>
  <conditionalFormatting sqref="J15:AN15">
    <cfRule type="expression" dxfId="58" priority="6" stopIfTrue="1">
      <formula>J15&gt;0</formula>
    </cfRule>
  </conditionalFormatting>
  <conditionalFormatting sqref="J18:AN18">
    <cfRule type="expression" dxfId="57" priority="7" stopIfTrue="1">
      <formula>J18&gt;0</formula>
    </cfRule>
  </conditionalFormatting>
  <conditionalFormatting sqref="J19:AN19">
    <cfRule type="expression" dxfId="56" priority="8" stopIfTrue="1">
      <formula>J19&gt;0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9"/>
  <sheetViews>
    <sheetView zoomScaleNormal="100" workbookViewId="0">
      <pane xSplit="9" ySplit="3" topLeftCell="J4" activePane="bottomRight" state="frozen"/>
      <selection pane="topRight" activeCell="J1" sqref="J1"/>
      <selection pane="bottomLeft" activeCell="A4" sqref="A4"/>
      <selection pane="bottomRight"/>
    </sheetView>
  </sheetViews>
  <sheetFormatPr defaultColWidth="8.6640625" defaultRowHeight="14.4" x14ac:dyDescent="0.3"/>
  <cols>
    <col min="1" max="1" width="5" customWidth="1"/>
    <col min="2" max="3" width="14" customWidth="1"/>
    <col min="4" max="4" width="10" customWidth="1"/>
    <col min="5" max="5" width="12" customWidth="1"/>
    <col min="6" max="6" width="26" customWidth="1"/>
    <col min="7" max="7" width="9" customWidth="1"/>
    <col min="8" max="8" width="7" customWidth="1"/>
    <col min="9" max="9" width="8" customWidth="1"/>
    <col min="10" max="39" width="7" customWidth="1"/>
    <col min="40" max="48" width="14" customWidth="1"/>
  </cols>
  <sheetData>
    <row r="1" spans="1:48" ht="30" customHeight="1" x14ac:dyDescent="0.3">
      <c r="A1" s="71" t="s">
        <v>151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</row>
    <row r="2" spans="1:48" ht="21.75" customHeight="1" x14ac:dyDescent="0.3">
      <c r="A2" s="76" t="s">
        <v>63</v>
      </c>
      <c r="B2" s="60"/>
      <c r="C2" s="60"/>
      <c r="D2" s="60"/>
      <c r="E2" s="60"/>
      <c r="F2" s="60"/>
      <c r="G2" s="60"/>
      <c r="H2" s="60"/>
      <c r="I2" s="60"/>
      <c r="J2" s="75" t="s">
        <v>64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74" t="s">
        <v>65</v>
      </c>
      <c r="AO2" s="60"/>
      <c r="AP2" s="60"/>
      <c r="AQ2" s="60"/>
      <c r="AR2" s="60"/>
      <c r="AS2" s="60"/>
      <c r="AT2" s="60"/>
      <c r="AU2" s="60"/>
      <c r="AV2" s="60"/>
    </row>
    <row r="3" spans="1:48" ht="42" customHeight="1" x14ac:dyDescent="0.3">
      <c r="A3" s="30" t="s">
        <v>39</v>
      </c>
      <c r="B3" s="30" t="s">
        <v>66</v>
      </c>
      <c r="C3" s="30" t="s">
        <v>40</v>
      </c>
      <c r="D3" s="30" t="s">
        <v>41</v>
      </c>
      <c r="E3" s="30" t="s">
        <v>67</v>
      </c>
      <c r="F3" s="30" t="s">
        <v>68</v>
      </c>
      <c r="G3" s="30" t="s">
        <v>69</v>
      </c>
      <c r="H3" s="30" t="s">
        <v>70</v>
      </c>
      <c r="I3" s="30" t="s">
        <v>71</v>
      </c>
      <c r="J3" s="31" t="s">
        <v>152</v>
      </c>
      <c r="K3" s="31" t="s">
        <v>153</v>
      </c>
      <c r="L3" s="31" t="s">
        <v>154</v>
      </c>
      <c r="M3" s="31" t="s">
        <v>155</v>
      </c>
      <c r="N3" s="31" t="s">
        <v>156</v>
      </c>
      <c r="O3" s="32" t="s">
        <v>157</v>
      </c>
      <c r="P3" s="32" t="s">
        <v>158</v>
      </c>
      <c r="Q3" s="31" t="s">
        <v>159</v>
      </c>
      <c r="R3" s="31" t="s">
        <v>160</v>
      </c>
      <c r="S3" s="31" t="s">
        <v>161</v>
      </c>
      <c r="T3" s="31" t="s">
        <v>162</v>
      </c>
      <c r="U3" s="31" t="s">
        <v>163</v>
      </c>
      <c r="V3" s="32" t="s">
        <v>164</v>
      </c>
      <c r="W3" s="32" t="s">
        <v>165</v>
      </c>
      <c r="X3" s="31" t="s">
        <v>166</v>
      </c>
      <c r="Y3" s="31" t="s">
        <v>167</v>
      </c>
      <c r="Z3" s="31" t="s">
        <v>168</v>
      </c>
      <c r="AA3" s="31" t="s">
        <v>169</v>
      </c>
      <c r="AB3" s="31" t="s">
        <v>170</v>
      </c>
      <c r="AC3" s="32" t="s">
        <v>171</v>
      </c>
      <c r="AD3" s="32" t="s">
        <v>172</v>
      </c>
      <c r="AE3" s="31" t="s">
        <v>173</v>
      </c>
      <c r="AF3" s="31" t="s">
        <v>174</v>
      </c>
      <c r="AG3" s="31" t="s">
        <v>175</v>
      </c>
      <c r="AH3" s="31" t="s">
        <v>176</v>
      </c>
      <c r="AI3" s="31" t="s">
        <v>177</v>
      </c>
      <c r="AJ3" s="32" t="s">
        <v>178</v>
      </c>
      <c r="AK3" s="32" t="s">
        <v>179</v>
      </c>
      <c r="AL3" s="31" t="s">
        <v>180</v>
      </c>
      <c r="AM3" s="31" t="s">
        <v>181</v>
      </c>
      <c r="AN3" s="13" t="s">
        <v>102</v>
      </c>
      <c r="AO3" s="13" t="s">
        <v>103</v>
      </c>
      <c r="AP3" s="13" t="s">
        <v>104</v>
      </c>
      <c r="AQ3" s="13" t="s">
        <v>105</v>
      </c>
      <c r="AR3" s="13" t="s">
        <v>106</v>
      </c>
      <c r="AS3" s="13" t="s">
        <v>107</v>
      </c>
      <c r="AT3" s="13" t="s">
        <v>108</v>
      </c>
      <c r="AU3" s="13" t="s">
        <v>109</v>
      </c>
      <c r="AV3" s="13" t="s">
        <v>55</v>
      </c>
    </row>
    <row r="4" spans="1:48" ht="19.5" customHeight="1" x14ac:dyDescent="0.3">
      <c r="A4" s="77" t="s">
        <v>110</v>
      </c>
      <c r="B4" s="72" t="s">
        <v>25</v>
      </c>
      <c r="C4" s="72" t="s">
        <v>58</v>
      </c>
      <c r="D4" s="77" t="s">
        <v>2</v>
      </c>
      <c r="E4" s="73" t="s">
        <v>27</v>
      </c>
      <c r="F4" s="73" t="s">
        <v>29</v>
      </c>
      <c r="G4" s="38" t="s">
        <v>59</v>
      </c>
      <c r="H4" s="73">
        <v>70</v>
      </c>
      <c r="I4" s="73">
        <v>70</v>
      </c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40">
        <f t="shared" ref="AN4:AN15" si="0">SUM(J4:AM4)</f>
        <v>0</v>
      </c>
      <c r="AO4" s="41">
        <f>'⚙ Настройки'!B9</f>
        <v>14</v>
      </c>
      <c r="AP4" s="42">
        <f>IFERROR(AN5/AN4*100,0)</f>
        <v>0</v>
      </c>
      <c r="AQ4" s="42">
        <f>IFERROR(AN4*AO4/100,0)</f>
        <v>0</v>
      </c>
      <c r="AR4" s="42">
        <f>AN5</f>
        <v>0</v>
      </c>
      <c r="AS4" s="42">
        <f>AQ4-AR4</f>
        <v>0</v>
      </c>
      <c r="AT4" s="43">
        <f>IFERROR((AR4-AQ4)/AQ4*100,0)</f>
        <v>0</v>
      </c>
      <c r="AU4" s="41">
        <f>AR4*'⚙ Настройки'!B10</f>
        <v>0</v>
      </c>
      <c r="AV4" s="44" t="str">
        <f>IF(AN4=0,"—",IF(AT4&lt;='⚙ Настройки'!B11,"✅ ОК","⚠️ ПЕРЕРАСХОД"))</f>
        <v>—</v>
      </c>
    </row>
    <row r="5" spans="1:48" ht="18" customHeight="1" x14ac:dyDescent="0.3">
      <c r="A5" s="68"/>
      <c r="B5" s="68"/>
      <c r="C5" s="68"/>
      <c r="D5" s="68"/>
      <c r="E5" s="68"/>
      <c r="F5" s="68"/>
      <c r="G5" s="45" t="s">
        <v>111</v>
      </c>
      <c r="H5" s="68"/>
      <c r="I5" s="68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7">
        <f t="shared" si="0"/>
        <v>0</v>
      </c>
      <c r="AO5" s="18"/>
      <c r="AP5" s="15"/>
      <c r="AQ5" s="18"/>
      <c r="AR5" s="15"/>
      <c r="AS5" s="15"/>
      <c r="AT5" s="15"/>
      <c r="AU5" s="15"/>
      <c r="AV5" s="15"/>
    </row>
    <row r="6" spans="1:48" ht="16.95" customHeight="1" x14ac:dyDescent="0.3">
      <c r="A6" s="88" t="s">
        <v>15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9">
        <f t="shared" si="0"/>
        <v>0</v>
      </c>
    </row>
    <row r="7" spans="1:48" ht="16.95" customHeight="1" x14ac:dyDescent="0.3">
      <c r="A7" s="6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1">
        <f t="shared" si="0"/>
        <v>0</v>
      </c>
    </row>
    <row r="8" spans="1:48" ht="19.5" customHeight="1" x14ac:dyDescent="0.3">
      <c r="A8" s="77" t="s">
        <v>112</v>
      </c>
      <c r="B8" s="72" t="s">
        <v>25</v>
      </c>
      <c r="C8" s="72" t="s">
        <v>58</v>
      </c>
      <c r="D8" s="77" t="s">
        <v>3</v>
      </c>
      <c r="E8" s="73" t="s">
        <v>27</v>
      </c>
      <c r="F8" s="73" t="s">
        <v>30</v>
      </c>
      <c r="G8" s="38" t="s">
        <v>59</v>
      </c>
      <c r="H8" s="73">
        <v>70</v>
      </c>
      <c r="I8" s="73">
        <v>70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40">
        <f t="shared" si="0"/>
        <v>0</v>
      </c>
      <c r="AO8" s="41">
        <f>'⚙ Настройки'!C9</f>
        <v>14</v>
      </c>
      <c r="AP8" s="42">
        <f>IFERROR(AN9/AN8*100,0)</f>
        <v>0</v>
      </c>
      <c r="AQ8" s="42">
        <f>IFERROR(AN8*AO8/100,0)</f>
        <v>0</v>
      </c>
      <c r="AR8" s="42">
        <f>AN9</f>
        <v>0</v>
      </c>
      <c r="AS8" s="42">
        <f>AQ8-AR8</f>
        <v>0</v>
      </c>
      <c r="AT8" s="43">
        <f>IFERROR((AR8-AQ8)/AQ8*100,0)</f>
        <v>0</v>
      </c>
      <c r="AU8" s="41">
        <f>AR8*'⚙ Настройки'!C10</f>
        <v>0</v>
      </c>
      <c r="AV8" s="44" t="str">
        <f>IF(AN8=0,"—",IF(AT8&lt;='⚙ Настройки'!C11,"✅ ОК","⚠️ ПЕРЕРАСХОД"))</f>
        <v>—</v>
      </c>
    </row>
    <row r="9" spans="1:48" ht="18" customHeight="1" x14ac:dyDescent="0.3">
      <c r="A9" s="68"/>
      <c r="B9" s="68"/>
      <c r="C9" s="68"/>
      <c r="D9" s="68"/>
      <c r="E9" s="68"/>
      <c r="F9" s="68"/>
      <c r="G9" s="45" t="s">
        <v>111</v>
      </c>
      <c r="H9" s="68"/>
      <c r="I9" s="68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7">
        <f t="shared" si="0"/>
        <v>0</v>
      </c>
      <c r="AO9" s="18"/>
      <c r="AP9" s="15"/>
      <c r="AQ9" s="18"/>
      <c r="AR9" s="15"/>
      <c r="AS9" s="15"/>
      <c r="AT9" s="15"/>
      <c r="AU9" s="15"/>
      <c r="AV9" s="15"/>
    </row>
    <row r="10" spans="1:48" ht="16.95" customHeight="1" x14ac:dyDescent="0.3">
      <c r="A10" s="88" t="s">
        <v>15</v>
      </c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9">
        <f t="shared" si="0"/>
        <v>0</v>
      </c>
    </row>
    <row r="11" spans="1:48" ht="16.95" customHeight="1" x14ac:dyDescent="0.3">
      <c r="A11" s="6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1">
        <f t="shared" si="0"/>
        <v>0</v>
      </c>
    </row>
    <row r="12" spans="1:48" ht="19.5" customHeight="1" x14ac:dyDescent="0.3">
      <c r="A12" s="77" t="s">
        <v>113</v>
      </c>
      <c r="B12" s="72" t="s">
        <v>25</v>
      </c>
      <c r="C12" s="72" t="s">
        <v>58</v>
      </c>
      <c r="D12" s="77" t="s">
        <v>4</v>
      </c>
      <c r="E12" s="73" t="s">
        <v>27</v>
      </c>
      <c r="F12" s="73" t="s">
        <v>31</v>
      </c>
      <c r="G12" s="38" t="s">
        <v>59</v>
      </c>
      <c r="H12" s="73">
        <v>70</v>
      </c>
      <c r="I12" s="73">
        <v>70</v>
      </c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40">
        <f t="shared" si="0"/>
        <v>0</v>
      </c>
      <c r="AO12" s="41">
        <f>'⚙ Настройки'!D9</f>
        <v>14</v>
      </c>
      <c r="AP12" s="42">
        <f>IFERROR(AN13/AN12*100,0)</f>
        <v>0</v>
      </c>
      <c r="AQ12" s="42">
        <f>IFERROR(AN12*AO12/100,0)</f>
        <v>0</v>
      </c>
      <c r="AR12" s="42">
        <f>AN13</f>
        <v>0</v>
      </c>
      <c r="AS12" s="42">
        <f>AQ12-AR12</f>
        <v>0</v>
      </c>
      <c r="AT12" s="43">
        <f>IFERROR((AR12-AQ12)/AQ12*100,0)</f>
        <v>0</v>
      </c>
      <c r="AU12" s="41">
        <f>AR12*'⚙ Настройки'!D10</f>
        <v>0</v>
      </c>
      <c r="AV12" s="44" t="str">
        <f>IF(AN12=0,"—",IF(AT12&lt;='⚙ Настройки'!D11,"✅ ОК","⚠️ ПЕРЕРАСХОД"))</f>
        <v>—</v>
      </c>
    </row>
    <row r="13" spans="1:48" ht="18" customHeight="1" x14ac:dyDescent="0.3">
      <c r="A13" s="68"/>
      <c r="B13" s="68"/>
      <c r="C13" s="68"/>
      <c r="D13" s="68"/>
      <c r="E13" s="68"/>
      <c r="F13" s="68"/>
      <c r="G13" s="45" t="s">
        <v>111</v>
      </c>
      <c r="H13" s="68"/>
      <c r="I13" s="6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7">
        <f t="shared" si="0"/>
        <v>0</v>
      </c>
      <c r="AO13" s="18"/>
      <c r="AP13" s="15"/>
      <c r="AQ13" s="18"/>
      <c r="AR13" s="15"/>
      <c r="AS13" s="15"/>
      <c r="AT13" s="15"/>
      <c r="AU13" s="15"/>
      <c r="AV13" s="15"/>
    </row>
    <row r="14" spans="1:48" ht="16.95" customHeight="1" x14ac:dyDescent="0.3">
      <c r="A14" s="88" t="s">
        <v>15</v>
      </c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9">
        <f t="shared" si="0"/>
        <v>0</v>
      </c>
    </row>
    <row r="15" spans="1:48" ht="16.95" customHeight="1" x14ac:dyDescent="0.3">
      <c r="A15" s="6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1">
        <f t="shared" si="0"/>
        <v>0</v>
      </c>
    </row>
    <row r="16" spans="1:48" ht="21" customHeight="1" x14ac:dyDescent="0.3">
      <c r="A16" s="83" t="s">
        <v>114</v>
      </c>
      <c r="B16" s="62"/>
      <c r="C16" s="62"/>
      <c r="D16" s="62"/>
      <c r="E16" s="62"/>
      <c r="F16" s="62"/>
      <c r="G16" s="62"/>
      <c r="H16" s="62"/>
      <c r="I16" s="62"/>
      <c r="J16" s="52">
        <f t="shared" ref="J16:AN16" si="1">J4+J8+J12</f>
        <v>0</v>
      </c>
      <c r="K16" s="52">
        <f t="shared" si="1"/>
        <v>0</v>
      </c>
      <c r="L16" s="52">
        <f t="shared" si="1"/>
        <v>0</v>
      </c>
      <c r="M16" s="52">
        <f t="shared" si="1"/>
        <v>0</v>
      </c>
      <c r="N16" s="52">
        <f t="shared" si="1"/>
        <v>0</v>
      </c>
      <c r="O16" s="52">
        <f t="shared" si="1"/>
        <v>0</v>
      </c>
      <c r="P16" s="52">
        <f t="shared" si="1"/>
        <v>0</v>
      </c>
      <c r="Q16" s="52">
        <f t="shared" si="1"/>
        <v>0</v>
      </c>
      <c r="R16" s="52">
        <f t="shared" si="1"/>
        <v>0</v>
      </c>
      <c r="S16" s="52">
        <f t="shared" si="1"/>
        <v>0</v>
      </c>
      <c r="T16" s="52">
        <f t="shared" si="1"/>
        <v>0</v>
      </c>
      <c r="U16" s="52">
        <f t="shared" si="1"/>
        <v>0</v>
      </c>
      <c r="V16" s="52">
        <f t="shared" si="1"/>
        <v>0</v>
      </c>
      <c r="W16" s="52">
        <f t="shared" si="1"/>
        <v>0</v>
      </c>
      <c r="X16" s="52">
        <f t="shared" si="1"/>
        <v>0</v>
      </c>
      <c r="Y16" s="52">
        <f t="shared" si="1"/>
        <v>0</v>
      </c>
      <c r="Z16" s="52">
        <f t="shared" si="1"/>
        <v>0</v>
      </c>
      <c r="AA16" s="52">
        <f t="shared" si="1"/>
        <v>0</v>
      </c>
      <c r="AB16" s="52">
        <f t="shared" si="1"/>
        <v>0</v>
      </c>
      <c r="AC16" s="52">
        <f t="shared" si="1"/>
        <v>0</v>
      </c>
      <c r="AD16" s="52">
        <f t="shared" si="1"/>
        <v>0</v>
      </c>
      <c r="AE16" s="52">
        <f t="shared" si="1"/>
        <v>0</v>
      </c>
      <c r="AF16" s="52">
        <f t="shared" si="1"/>
        <v>0</v>
      </c>
      <c r="AG16" s="52">
        <f t="shared" si="1"/>
        <v>0</v>
      </c>
      <c r="AH16" s="52">
        <f t="shared" si="1"/>
        <v>0</v>
      </c>
      <c r="AI16" s="52">
        <f t="shared" si="1"/>
        <v>0</v>
      </c>
      <c r="AJ16" s="52">
        <f t="shared" si="1"/>
        <v>0</v>
      </c>
      <c r="AK16" s="52">
        <f t="shared" si="1"/>
        <v>0</v>
      </c>
      <c r="AL16" s="52">
        <f t="shared" si="1"/>
        <v>0</v>
      </c>
      <c r="AM16" s="52">
        <f t="shared" si="1"/>
        <v>0</v>
      </c>
      <c r="AN16" s="53">
        <f t="shared" si="1"/>
        <v>0</v>
      </c>
      <c r="AO16" s="86" t="s">
        <v>115</v>
      </c>
      <c r="AP16" s="87"/>
      <c r="AQ16" s="87"/>
      <c r="AR16" s="87"/>
      <c r="AS16" s="87"/>
      <c r="AT16" s="84">
        <f>AU4+AU8+AU12</f>
        <v>0</v>
      </c>
      <c r="AU16" s="85"/>
      <c r="AV16" s="85"/>
    </row>
    <row r="17" spans="1:40" ht="18" customHeight="1" x14ac:dyDescent="0.3">
      <c r="A17" s="83" t="s">
        <v>116</v>
      </c>
      <c r="B17" s="62"/>
      <c r="C17" s="62"/>
      <c r="D17" s="62"/>
      <c r="E17" s="62"/>
      <c r="F17" s="62"/>
      <c r="G17" s="62"/>
      <c r="H17" s="62"/>
      <c r="I17" s="62"/>
      <c r="J17" s="54">
        <f t="shared" ref="J17:AN17" si="2">J5+J9+J13</f>
        <v>0</v>
      </c>
      <c r="K17" s="54">
        <f t="shared" si="2"/>
        <v>0</v>
      </c>
      <c r="L17" s="54">
        <f t="shared" si="2"/>
        <v>0</v>
      </c>
      <c r="M17" s="54">
        <f t="shared" si="2"/>
        <v>0</v>
      </c>
      <c r="N17" s="54">
        <f t="shared" si="2"/>
        <v>0</v>
      </c>
      <c r="O17" s="54">
        <f t="shared" si="2"/>
        <v>0</v>
      </c>
      <c r="P17" s="54">
        <f t="shared" si="2"/>
        <v>0</v>
      </c>
      <c r="Q17" s="54">
        <f t="shared" si="2"/>
        <v>0</v>
      </c>
      <c r="R17" s="54">
        <f t="shared" si="2"/>
        <v>0</v>
      </c>
      <c r="S17" s="54">
        <f t="shared" si="2"/>
        <v>0</v>
      </c>
      <c r="T17" s="54">
        <f t="shared" si="2"/>
        <v>0</v>
      </c>
      <c r="U17" s="54">
        <f t="shared" si="2"/>
        <v>0</v>
      </c>
      <c r="V17" s="54">
        <f t="shared" si="2"/>
        <v>0</v>
      </c>
      <c r="W17" s="54">
        <f t="shared" si="2"/>
        <v>0</v>
      </c>
      <c r="X17" s="54">
        <f t="shared" si="2"/>
        <v>0</v>
      </c>
      <c r="Y17" s="54">
        <f t="shared" si="2"/>
        <v>0</v>
      </c>
      <c r="Z17" s="54">
        <f t="shared" si="2"/>
        <v>0</v>
      </c>
      <c r="AA17" s="54">
        <f t="shared" si="2"/>
        <v>0</v>
      </c>
      <c r="AB17" s="54">
        <f t="shared" si="2"/>
        <v>0</v>
      </c>
      <c r="AC17" s="54">
        <f t="shared" si="2"/>
        <v>0</v>
      </c>
      <c r="AD17" s="54">
        <f t="shared" si="2"/>
        <v>0</v>
      </c>
      <c r="AE17" s="54">
        <f t="shared" si="2"/>
        <v>0</v>
      </c>
      <c r="AF17" s="54">
        <f t="shared" si="2"/>
        <v>0</v>
      </c>
      <c r="AG17" s="54">
        <f t="shared" si="2"/>
        <v>0</v>
      </c>
      <c r="AH17" s="54">
        <f t="shared" si="2"/>
        <v>0</v>
      </c>
      <c r="AI17" s="54">
        <f t="shared" si="2"/>
        <v>0</v>
      </c>
      <c r="AJ17" s="54">
        <f t="shared" si="2"/>
        <v>0</v>
      </c>
      <c r="AK17" s="54">
        <f t="shared" si="2"/>
        <v>0</v>
      </c>
      <c r="AL17" s="54">
        <f t="shared" si="2"/>
        <v>0</v>
      </c>
      <c r="AM17" s="54">
        <f t="shared" si="2"/>
        <v>0</v>
      </c>
      <c r="AN17" s="53">
        <f t="shared" si="2"/>
        <v>0</v>
      </c>
    </row>
    <row r="18" spans="1:40" ht="18" customHeight="1" x14ac:dyDescent="0.3">
      <c r="A18" s="81" t="s">
        <v>117</v>
      </c>
      <c r="B18" s="60"/>
      <c r="C18" s="60"/>
      <c r="D18" s="60"/>
      <c r="E18" s="60"/>
      <c r="F18" s="60"/>
      <c r="G18" s="60"/>
      <c r="H18" s="60"/>
      <c r="I18" s="60"/>
      <c r="J18" s="55">
        <f t="shared" ref="J18:AN18" si="3">J6+J10+J14</f>
        <v>0</v>
      </c>
      <c r="K18" s="55">
        <f t="shared" si="3"/>
        <v>0</v>
      </c>
      <c r="L18" s="55">
        <f t="shared" si="3"/>
        <v>0</v>
      </c>
      <c r="M18" s="55">
        <f t="shared" si="3"/>
        <v>0</v>
      </c>
      <c r="N18" s="55">
        <f t="shared" si="3"/>
        <v>0</v>
      </c>
      <c r="O18" s="55">
        <f t="shared" si="3"/>
        <v>0</v>
      </c>
      <c r="P18" s="55">
        <f t="shared" si="3"/>
        <v>0</v>
      </c>
      <c r="Q18" s="55">
        <f t="shared" si="3"/>
        <v>0</v>
      </c>
      <c r="R18" s="55">
        <f t="shared" si="3"/>
        <v>0</v>
      </c>
      <c r="S18" s="55">
        <f t="shared" si="3"/>
        <v>0</v>
      </c>
      <c r="T18" s="55">
        <f t="shared" si="3"/>
        <v>0</v>
      </c>
      <c r="U18" s="55">
        <f t="shared" si="3"/>
        <v>0</v>
      </c>
      <c r="V18" s="55">
        <f t="shared" si="3"/>
        <v>0</v>
      </c>
      <c r="W18" s="55">
        <f t="shared" si="3"/>
        <v>0</v>
      </c>
      <c r="X18" s="55">
        <f t="shared" si="3"/>
        <v>0</v>
      </c>
      <c r="Y18" s="55">
        <f t="shared" si="3"/>
        <v>0</v>
      </c>
      <c r="Z18" s="55">
        <f t="shared" si="3"/>
        <v>0</v>
      </c>
      <c r="AA18" s="55">
        <f t="shared" si="3"/>
        <v>0</v>
      </c>
      <c r="AB18" s="55">
        <f t="shared" si="3"/>
        <v>0</v>
      </c>
      <c r="AC18" s="55">
        <f t="shared" si="3"/>
        <v>0</v>
      </c>
      <c r="AD18" s="55">
        <f t="shared" si="3"/>
        <v>0</v>
      </c>
      <c r="AE18" s="55">
        <f t="shared" si="3"/>
        <v>0</v>
      </c>
      <c r="AF18" s="55">
        <f t="shared" si="3"/>
        <v>0</v>
      </c>
      <c r="AG18" s="55">
        <f t="shared" si="3"/>
        <v>0</v>
      </c>
      <c r="AH18" s="55">
        <f t="shared" si="3"/>
        <v>0</v>
      </c>
      <c r="AI18" s="55">
        <f t="shared" si="3"/>
        <v>0</v>
      </c>
      <c r="AJ18" s="55">
        <f t="shared" si="3"/>
        <v>0</v>
      </c>
      <c r="AK18" s="55">
        <f t="shared" si="3"/>
        <v>0</v>
      </c>
      <c r="AL18" s="55">
        <f t="shared" si="3"/>
        <v>0</v>
      </c>
      <c r="AM18" s="55">
        <f t="shared" si="3"/>
        <v>0</v>
      </c>
      <c r="AN18" s="56">
        <f t="shared" si="3"/>
        <v>0</v>
      </c>
    </row>
    <row r="19" spans="1:40" ht="18" customHeight="1" x14ac:dyDescent="0.3">
      <c r="A19" s="78" t="s">
        <v>118</v>
      </c>
      <c r="B19" s="60"/>
      <c r="C19" s="60"/>
      <c r="D19" s="60"/>
      <c r="E19" s="60"/>
      <c r="F19" s="60"/>
      <c r="G19" s="60"/>
      <c r="H19" s="60"/>
      <c r="I19" s="60"/>
      <c r="J19" s="57">
        <f t="shared" ref="J19:AN19" si="4">J7+J11+J15</f>
        <v>0</v>
      </c>
      <c r="K19" s="57">
        <f t="shared" si="4"/>
        <v>0</v>
      </c>
      <c r="L19" s="57">
        <f t="shared" si="4"/>
        <v>0</v>
      </c>
      <c r="M19" s="57">
        <f t="shared" si="4"/>
        <v>0</v>
      </c>
      <c r="N19" s="57">
        <f t="shared" si="4"/>
        <v>0</v>
      </c>
      <c r="O19" s="57">
        <f t="shared" si="4"/>
        <v>0</v>
      </c>
      <c r="P19" s="57">
        <f t="shared" si="4"/>
        <v>0</v>
      </c>
      <c r="Q19" s="57">
        <f t="shared" si="4"/>
        <v>0</v>
      </c>
      <c r="R19" s="57">
        <f t="shared" si="4"/>
        <v>0</v>
      </c>
      <c r="S19" s="57">
        <f t="shared" si="4"/>
        <v>0</v>
      </c>
      <c r="T19" s="57">
        <f t="shared" si="4"/>
        <v>0</v>
      </c>
      <c r="U19" s="57">
        <f t="shared" si="4"/>
        <v>0</v>
      </c>
      <c r="V19" s="57">
        <f t="shared" si="4"/>
        <v>0</v>
      </c>
      <c r="W19" s="57">
        <f t="shared" si="4"/>
        <v>0</v>
      </c>
      <c r="X19" s="57">
        <f t="shared" si="4"/>
        <v>0</v>
      </c>
      <c r="Y19" s="57">
        <f t="shared" si="4"/>
        <v>0</v>
      </c>
      <c r="Z19" s="57">
        <f t="shared" si="4"/>
        <v>0</v>
      </c>
      <c r="AA19" s="57">
        <f t="shared" si="4"/>
        <v>0</v>
      </c>
      <c r="AB19" s="57">
        <f t="shared" si="4"/>
        <v>0</v>
      </c>
      <c r="AC19" s="57">
        <f t="shared" si="4"/>
        <v>0</v>
      </c>
      <c r="AD19" s="57">
        <f t="shared" si="4"/>
        <v>0</v>
      </c>
      <c r="AE19" s="57">
        <f t="shared" si="4"/>
        <v>0</v>
      </c>
      <c r="AF19" s="57">
        <f t="shared" si="4"/>
        <v>0</v>
      </c>
      <c r="AG19" s="57">
        <f t="shared" si="4"/>
        <v>0</v>
      </c>
      <c r="AH19" s="57">
        <f t="shared" si="4"/>
        <v>0</v>
      </c>
      <c r="AI19" s="57">
        <f t="shared" si="4"/>
        <v>0</v>
      </c>
      <c r="AJ19" s="57">
        <f t="shared" si="4"/>
        <v>0</v>
      </c>
      <c r="AK19" s="57">
        <f t="shared" si="4"/>
        <v>0</v>
      </c>
      <c r="AL19" s="57">
        <f t="shared" si="4"/>
        <v>0</v>
      </c>
      <c r="AM19" s="57">
        <f t="shared" si="4"/>
        <v>0</v>
      </c>
      <c r="AN19" s="58">
        <f t="shared" si="4"/>
        <v>0</v>
      </c>
    </row>
  </sheetData>
  <mergeCells count="37">
    <mergeCell ref="AT16:AV16"/>
    <mergeCell ref="B4:B5"/>
    <mergeCell ref="H8:H9"/>
    <mergeCell ref="F4:F5"/>
    <mergeCell ref="E12:E13"/>
    <mergeCell ref="H4:H5"/>
    <mergeCell ref="A16:I16"/>
    <mergeCell ref="AO16:AS16"/>
    <mergeCell ref="A19:I19"/>
    <mergeCell ref="I8:I9"/>
    <mergeCell ref="C8:C9"/>
    <mergeCell ref="A4:A5"/>
    <mergeCell ref="H12:H13"/>
    <mergeCell ref="I4:I5"/>
    <mergeCell ref="D8:D9"/>
    <mergeCell ref="A10:A11"/>
    <mergeCell ref="B8:B9"/>
    <mergeCell ref="A18:I18"/>
    <mergeCell ref="A6:A7"/>
    <mergeCell ref="A17:I17"/>
    <mergeCell ref="D12:D13"/>
    <mergeCell ref="A14:A15"/>
    <mergeCell ref="A8:A9"/>
    <mergeCell ref="A1:AV1"/>
    <mergeCell ref="C4:C5"/>
    <mergeCell ref="B12:B13"/>
    <mergeCell ref="E4:E5"/>
    <mergeCell ref="F12:F13"/>
    <mergeCell ref="AN2:AV2"/>
    <mergeCell ref="I12:I13"/>
    <mergeCell ref="J2:AM2"/>
    <mergeCell ref="E8:E9"/>
    <mergeCell ref="A2:I2"/>
    <mergeCell ref="F8:F9"/>
    <mergeCell ref="A12:A13"/>
    <mergeCell ref="D4:D5"/>
    <mergeCell ref="C12:C13"/>
  </mergeCells>
  <conditionalFormatting sqref="J6:AM6">
    <cfRule type="expression" dxfId="55" priority="1" stopIfTrue="1">
      <formula>J6&gt;0</formula>
    </cfRule>
  </conditionalFormatting>
  <conditionalFormatting sqref="J7:AM7">
    <cfRule type="expression" dxfId="54" priority="2" stopIfTrue="1">
      <formula>J7&gt;0</formula>
    </cfRule>
  </conditionalFormatting>
  <conditionalFormatting sqref="J10:AM10">
    <cfRule type="expression" dxfId="53" priority="3" stopIfTrue="1">
      <formula>J10&gt;0</formula>
    </cfRule>
  </conditionalFormatting>
  <conditionalFormatting sqref="J11:AM11">
    <cfRule type="expression" dxfId="52" priority="4" stopIfTrue="1">
      <formula>J11&gt;0</formula>
    </cfRule>
  </conditionalFormatting>
  <conditionalFormatting sqref="J14:AM14">
    <cfRule type="expression" dxfId="51" priority="5" stopIfTrue="1">
      <formula>J14&gt;0</formula>
    </cfRule>
  </conditionalFormatting>
  <conditionalFormatting sqref="J15:AM15">
    <cfRule type="expression" dxfId="50" priority="6" stopIfTrue="1">
      <formula>J15&gt;0</formula>
    </cfRule>
  </conditionalFormatting>
  <conditionalFormatting sqref="J18:AM18">
    <cfRule type="expression" dxfId="49" priority="7" stopIfTrue="1">
      <formula>J18&gt;0</formula>
    </cfRule>
  </conditionalFormatting>
  <conditionalFormatting sqref="J19:AM19">
    <cfRule type="expression" dxfId="48" priority="8" stopIfTrue="1">
      <formula>J19&gt;0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9"/>
  <sheetViews>
    <sheetView zoomScaleNormal="100" workbookViewId="0">
      <pane xSplit="9" ySplit="3" topLeftCell="J4" activePane="bottomRight" state="frozen"/>
      <selection pane="topRight" activeCell="J1" sqref="J1"/>
      <selection pane="bottomLeft" activeCell="A4" sqref="A4"/>
      <selection pane="bottomRight"/>
    </sheetView>
  </sheetViews>
  <sheetFormatPr defaultColWidth="8.6640625" defaultRowHeight="14.4" x14ac:dyDescent="0.3"/>
  <cols>
    <col min="1" max="1" width="5" customWidth="1"/>
    <col min="2" max="3" width="14" customWidth="1"/>
    <col min="4" max="4" width="10" customWidth="1"/>
    <col min="5" max="5" width="12" customWidth="1"/>
    <col min="6" max="6" width="26" customWidth="1"/>
    <col min="7" max="7" width="9" customWidth="1"/>
    <col min="8" max="8" width="7" customWidth="1"/>
    <col min="9" max="9" width="8" customWidth="1"/>
    <col min="10" max="40" width="7" customWidth="1"/>
    <col min="41" max="49" width="14" customWidth="1"/>
  </cols>
  <sheetData>
    <row r="1" spans="1:49" ht="30" customHeight="1" x14ac:dyDescent="0.3">
      <c r="A1" s="71" t="s">
        <v>182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</row>
    <row r="2" spans="1:49" ht="21.75" customHeight="1" x14ac:dyDescent="0.3">
      <c r="A2" s="76" t="s">
        <v>63</v>
      </c>
      <c r="B2" s="60"/>
      <c r="C2" s="60"/>
      <c r="D2" s="60"/>
      <c r="E2" s="60"/>
      <c r="F2" s="60"/>
      <c r="G2" s="60"/>
      <c r="H2" s="60"/>
      <c r="I2" s="60"/>
      <c r="J2" s="75" t="s">
        <v>64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74" t="s">
        <v>65</v>
      </c>
      <c r="AP2" s="60"/>
      <c r="AQ2" s="60"/>
      <c r="AR2" s="60"/>
      <c r="AS2" s="60"/>
      <c r="AT2" s="60"/>
      <c r="AU2" s="60"/>
      <c r="AV2" s="60"/>
    </row>
    <row r="3" spans="1:49" ht="42" customHeight="1" x14ac:dyDescent="0.3">
      <c r="A3" s="30" t="s">
        <v>39</v>
      </c>
      <c r="B3" s="30" t="s">
        <v>66</v>
      </c>
      <c r="C3" s="30" t="s">
        <v>40</v>
      </c>
      <c r="D3" s="30" t="s">
        <v>41</v>
      </c>
      <c r="E3" s="30" t="s">
        <v>67</v>
      </c>
      <c r="F3" s="30" t="s">
        <v>68</v>
      </c>
      <c r="G3" s="30" t="s">
        <v>69</v>
      </c>
      <c r="H3" s="30" t="s">
        <v>70</v>
      </c>
      <c r="I3" s="30" t="s">
        <v>71</v>
      </c>
      <c r="J3" s="31" t="s">
        <v>72</v>
      </c>
      <c r="K3" s="31" t="s">
        <v>73</v>
      </c>
      <c r="L3" s="31" t="s">
        <v>74</v>
      </c>
      <c r="M3" s="32" t="s">
        <v>75</v>
      </c>
      <c r="N3" s="32" t="s">
        <v>76</v>
      </c>
      <c r="O3" s="31" t="s">
        <v>77</v>
      </c>
      <c r="P3" s="31" t="s">
        <v>78</v>
      </c>
      <c r="Q3" s="31" t="s">
        <v>79</v>
      </c>
      <c r="R3" s="31" t="s">
        <v>80</v>
      </c>
      <c r="S3" s="31" t="s">
        <v>81</v>
      </c>
      <c r="T3" s="32" t="s">
        <v>82</v>
      </c>
      <c r="U3" s="32" t="s">
        <v>83</v>
      </c>
      <c r="V3" s="31" t="s">
        <v>84</v>
      </c>
      <c r="W3" s="31" t="s">
        <v>85</v>
      </c>
      <c r="X3" s="31" t="s">
        <v>86</v>
      </c>
      <c r="Y3" s="31" t="s">
        <v>87</v>
      </c>
      <c r="Z3" s="31" t="s">
        <v>88</v>
      </c>
      <c r="AA3" s="32" t="s">
        <v>89</v>
      </c>
      <c r="AB3" s="32" t="s">
        <v>90</v>
      </c>
      <c r="AC3" s="31" t="s">
        <v>91</v>
      </c>
      <c r="AD3" s="31" t="s">
        <v>92</v>
      </c>
      <c r="AE3" s="31" t="s">
        <v>93</v>
      </c>
      <c r="AF3" s="31" t="s">
        <v>94</v>
      </c>
      <c r="AG3" s="31" t="s">
        <v>95</v>
      </c>
      <c r="AH3" s="32" t="s">
        <v>96</v>
      </c>
      <c r="AI3" s="32" t="s">
        <v>97</v>
      </c>
      <c r="AJ3" s="31" t="s">
        <v>98</v>
      </c>
      <c r="AK3" s="31" t="s">
        <v>99</v>
      </c>
      <c r="AL3" s="31" t="s">
        <v>100</v>
      </c>
      <c r="AM3" s="31" t="s">
        <v>101</v>
      </c>
      <c r="AN3" s="31" t="s">
        <v>183</v>
      </c>
      <c r="AO3" s="13" t="s">
        <v>102</v>
      </c>
      <c r="AP3" s="13" t="s">
        <v>103</v>
      </c>
      <c r="AQ3" s="13" t="s">
        <v>104</v>
      </c>
      <c r="AR3" s="13" t="s">
        <v>105</v>
      </c>
      <c r="AS3" s="13" t="s">
        <v>106</v>
      </c>
      <c r="AT3" s="13" t="s">
        <v>107</v>
      </c>
      <c r="AU3" s="13" t="s">
        <v>108</v>
      </c>
      <c r="AV3" s="13" t="s">
        <v>109</v>
      </c>
      <c r="AW3" s="13" t="s">
        <v>55</v>
      </c>
    </row>
    <row r="4" spans="1:49" ht="19.5" customHeight="1" x14ac:dyDescent="0.3">
      <c r="A4" s="77" t="s">
        <v>110</v>
      </c>
      <c r="B4" s="72" t="s">
        <v>25</v>
      </c>
      <c r="C4" s="72" t="s">
        <v>58</v>
      </c>
      <c r="D4" s="77" t="s">
        <v>2</v>
      </c>
      <c r="E4" s="73" t="s">
        <v>27</v>
      </c>
      <c r="F4" s="73" t="s">
        <v>29</v>
      </c>
      <c r="G4" s="38" t="s">
        <v>59</v>
      </c>
      <c r="H4" s="73">
        <v>70</v>
      </c>
      <c r="I4" s="73">
        <v>70</v>
      </c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>
        <f t="shared" ref="AO4:AO15" si="0">SUM(J4:AN4)</f>
        <v>0</v>
      </c>
      <c r="AP4" s="41">
        <f>'⚙ Настройки'!B9</f>
        <v>14</v>
      </c>
      <c r="AQ4" s="42">
        <f>IFERROR(AO5/AO4*100,0)</f>
        <v>0</v>
      </c>
      <c r="AR4" s="42">
        <f>IFERROR(AO4*AP4/100,0)</f>
        <v>0</v>
      </c>
      <c r="AS4" s="42">
        <f>AO5</f>
        <v>0</v>
      </c>
      <c r="AT4" s="42">
        <f>AR4-AS4</f>
        <v>0</v>
      </c>
      <c r="AU4" s="43">
        <f>IFERROR((AS4-AR4)/AR4*100,0)</f>
        <v>0</v>
      </c>
      <c r="AV4" s="41">
        <f>AS4*'⚙ Настройки'!B10</f>
        <v>0</v>
      </c>
      <c r="AW4" s="44" t="str">
        <f>IF(AO4=0,"—",IF(AU4&lt;='⚙ Настройки'!B11,"✅ ОК","⚠️ ПЕРЕРАСХОД"))</f>
        <v>—</v>
      </c>
    </row>
    <row r="5" spans="1:49" ht="18" customHeight="1" x14ac:dyDescent="0.3">
      <c r="A5" s="68"/>
      <c r="B5" s="68"/>
      <c r="C5" s="68"/>
      <c r="D5" s="68"/>
      <c r="E5" s="68"/>
      <c r="F5" s="68"/>
      <c r="G5" s="45" t="s">
        <v>111</v>
      </c>
      <c r="H5" s="68"/>
      <c r="I5" s="68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7">
        <f t="shared" si="0"/>
        <v>0</v>
      </c>
      <c r="AP5" s="18"/>
      <c r="AQ5" s="15"/>
      <c r="AR5" s="18"/>
      <c r="AS5" s="15"/>
      <c r="AT5" s="15"/>
      <c r="AU5" s="15"/>
      <c r="AV5" s="15"/>
      <c r="AW5" s="15"/>
    </row>
    <row r="6" spans="1:49" ht="16.95" customHeight="1" x14ac:dyDescent="0.3">
      <c r="A6" s="88" t="s">
        <v>15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9">
        <f t="shared" si="0"/>
        <v>0</v>
      </c>
    </row>
    <row r="7" spans="1:49" ht="16.95" customHeight="1" x14ac:dyDescent="0.3">
      <c r="A7" s="6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1">
        <f t="shared" si="0"/>
        <v>0</v>
      </c>
    </row>
    <row r="8" spans="1:49" ht="19.5" customHeight="1" x14ac:dyDescent="0.3">
      <c r="A8" s="77" t="s">
        <v>112</v>
      </c>
      <c r="B8" s="72" t="s">
        <v>25</v>
      </c>
      <c r="C8" s="72" t="s">
        <v>58</v>
      </c>
      <c r="D8" s="77" t="s">
        <v>3</v>
      </c>
      <c r="E8" s="73" t="s">
        <v>27</v>
      </c>
      <c r="F8" s="73" t="s">
        <v>30</v>
      </c>
      <c r="G8" s="38" t="s">
        <v>59</v>
      </c>
      <c r="H8" s="73">
        <v>70</v>
      </c>
      <c r="I8" s="73">
        <v>70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40">
        <f t="shared" si="0"/>
        <v>0</v>
      </c>
      <c r="AP8" s="41">
        <f>'⚙ Настройки'!C9</f>
        <v>14</v>
      </c>
      <c r="AQ8" s="42">
        <f>IFERROR(AO9/AO8*100,0)</f>
        <v>0</v>
      </c>
      <c r="AR8" s="42">
        <f>IFERROR(AO8*AP8/100,0)</f>
        <v>0</v>
      </c>
      <c r="AS8" s="42">
        <f>AO9</f>
        <v>0</v>
      </c>
      <c r="AT8" s="42">
        <f>AR8-AS8</f>
        <v>0</v>
      </c>
      <c r="AU8" s="43">
        <f>IFERROR((AS8-AR8)/AR8*100,0)</f>
        <v>0</v>
      </c>
      <c r="AV8" s="41">
        <f>AS8*'⚙ Настройки'!C10</f>
        <v>0</v>
      </c>
      <c r="AW8" s="44" t="str">
        <f>IF(AO8=0,"—",IF(AU8&lt;='⚙ Настройки'!C11,"✅ ОК","⚠️ ПЕРЕРАСХОД"))</f>
        <v>—</v>
      </c>
    </row>
    <row r="9" spans="1:49" ht="18" customHeight="1" x14ac:dyDescent="0.3">
      <c r="A9" s="68"/>
      <c r="B9" s="68"/>
      <c r="C9" s="68"/>
      <c r="D9" s="68"/>
      <c r="E9" s="68"/>
      <c r="F9" s="68"/>
      <c r="G9" s="45" t="s">
        <v>111</v>
      </c>
      <c r="H9" s="68"/>
      <c r="I9" s="68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7">
        <f t="shared" si="0"/>
        <v>0</v>
      </c>
      <c r="AP9" s="18"/>
      <c r="AQ9" s="15"/>
      <c r="AR9" s="18"/>
      <c r="AS9" s="15"/>
      <c r="AT9" s="15"/>
      <c r="AU9" s="15"/>
      <c r="AV9" s="15"/>
      <c r="AW9" s="15"/>
    </row>
    <row r="10" spans="1:49" ht="16.95" customHeight="1" x14ac:dyDescent="0.3">
      <c r="A10" s="88" t="s">
        <v>15</v>
      </c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9">
        <f t="shared" si="0"/>
        <v>0</v>
      </c>
    </row>
    <row r="11" spans="1:49" ht="16.95" customHeight="1" x14ac:dyDescent="0.3">
      <c r="A11" s="6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1">
        <f t="shared" si="0"/>
        <v>0</v>
      </c>
    </row>
    <row r="12" spans="1:49" ht="19.5" customHeight="1" x14ac:dyDescent="0.3">
      <c r="A12" s="77" t="s">
        <v>113</v>
      </c>
      <c r="B12" s="72" t="s">
        <v>25</v>
      </c>
      <c r="C12" s="72" t="s">
        <v>58</v>
      </c>
      <c r="D12" s="77" t="s">
        <v>4</v>
      </c>
      <c r="E12" s="73" t="s">
        <v>27</v>
      </c>
      <c r="F12" s="73" t="s">
        <v>31</v>
      </c>
      <c r="G12" s="38" t="s">
        <v>59</v>
      </c>
      <c r="H12" s="73">
        <v>70</v>
      </c>
      <c r="I12" s="73">
        <v>70</v>
      </c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40">
        <f t="shared" si="0"/>
        <v>0</v>
      </c>
      <c r="AP12" s="41">
        <f>'⚙ Настройки'!D9</f>
        <v>14</v>
      </c>
      <c r="AQ12" s="42">
        <f>IFERROR(AO13/AO12*100,0)</f>
        <v>0</v>
      </c>
      <c r="AR12" s="42">
        <f>IFERROR(AO12*AP12/100,0)</f>
        <v>0</v>
      </c>
      <c r="AS12" s="42">
        <f>AO13</f>
        <v>0</v>
      </c>
      <c r="AT12" s="42">
        <f>AR12-AS12</f>
        <v>0</v>
      </c>
      <c r="AU12" s="43">
        <f>IFERROR((AS12-AR12)/AR12*100,0)</f>
        <v>0</v>
      </c>
      <c r="AV12" s="41">
        <f>AS12*'⚙ Настройки'!D10</f>
        <v>0</v>
      </c>
      <c r="AW12" s="44" t="str">
        <f>IF(AO12=0,"—",IF(AU12&lt;='⚙ Настройки'!D11,"✅ ОК","⚠️ ПЕРЕРАСХОД"))</f>
        <v>—</v>
      </c>
    </row>
    <row r="13" spans="1:49" ht="18" customHeight="1" x14ac:dyDescent="0.3">
      <c r="A13" s="68"/>
      <c r="B13" s="68"/>
      <c r="C13" s="68"/>
      <c r="D13" s="68"/>
      <c r="E13" s="68"/>
      <c r="F13" s="68"/>
      <c r="G13" s="45" t="s">
        <v>111</v>
      </c>
      <c r="H13" s="68"/>
      <c r="I13" s="6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7">
        <f t="shared" si="0"/>
        <v>0</v>
      </c>
      <c r="AP13" s="18"/>
      <c r="AQ13" s="15"/>
      <c r="AR13" s="18"/>
      <c r="AS13" s="15"/>
      <c r="AT13" s="15"/>
      <c r="AU13" s="15"/>
      <c r="AV13" s="15"/>
      <c r="AW13" s="15"/>
    </row>
    <row r="14" spans="1:49" ht="16.95" customHeight="1" x14ac:dyDescent="0.3">
      <c r="A14" s="88" t="s">
        <v>15</v>
      </c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9">
        <f t="shared" si="0"/>
        <v>0</v>
      </c>
    </row>
    <row r="15" spans="1:49" ht="16.95" customHeight="1" x14ac:dyDescent="0.3">
      <c r="A15" s="6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1">
        <f t="shared" si="0"/>
        <v>0</v>
      </c>
    </row>
    <row r="16" spans="1:49" ht="21" customHeight="1" x14ac:dyDescent="0.3">
      <c r="A16" s="83" t="s">
        <v>114</v>
      </c>
      <c r="B16" s="62"/>
      <c r="C16" s="62"/>
      <c r="D16" s="62"/>
      <c r="E16" s="62"/>
      <c r="F16" s="62"/>
      <c r="G16" s="62"/>
      <c r="H16" s="62"/>
      <c r="I16" s="62"/>
      <c r="J16" s="52">
        <f t="shared" ref="J16:AO16" si="1">J4+J8+J12</f>
        <v>0</v>
      </c>
      <c r="K16" s="52">
        <f t="shared" si="1"/>
        <v>0</v>
      </c>
      <c r="L16" s="52">
        <f t="shared" si="1"/>
        <v>0</v>
      </c>
      <c r="M16" s="52">
        <f t="shared" si="1"/>
        <v>0</v>
      </c>
      <c r="N16" s="52">
        <f t="shared" si="1"/>
        <v>0</v>
      </c>
      <c r="O16" s="52">
        <f t="shared" si="1"/>
        <v>0</v>
      </c>
      <c r="P16" s="52">
        <f t="shared" si="1"/>
        <v>0</v>
      </c>
      <c r="Q16" s="52">
        <f t="shared" si="1"/>
        <v>0</v>
      </c>
      <c r="R16" s="52">
        <f t="shared" si="1"/>
        <v>0</v>
      </c>
      <c r="S16" s="52">
        <f t="shared" si="1"/>
        <v>0</v>
      </c>
      <c r="T16" s="52">
        <f t="shared" si="1"/>
        <v>0</v>
      </c>
      <c r="U16" s="52">
        <f t="shared" si="1"/>
        <v>0</v>
      </c>
      <c r="V16" s="52">
        <f t="shared" si="1"/>
        <v>0</v>
      </c>
      <c r="W16" s="52">
        <f t="shared" si="1"/>
        <v>0</v>
      </c>
      <c r="X16" s="52">
        <f t="shared" si="1"/>
        <v>0</v>
      </c>
      <c r="Y16" s="52">
        <f t="shared" si="1"/>
        <v>0</v>
      </c>
      <c r="Z16" s="52">
        <f t="shared" si="1"/>
        <v>0</v>
      </c>
      <c r="AA16" s="52">
        <f t="shared" si="1"/>
        <v>0</v>
      </c>
      <c r="AB16" s="52">
        <f t="shared" si="1"/>
        <v>0</v>
      </c>
      <c r="AC16" s="52">
        <f t="shared" si="1"/>
        <v>0</v>
      </c>
      <c r="AD16" s="52">
        <f t="shared" si="1"/>
        <v>0</v>
      </c>
      <c r="AE16" s="52">
        <f t="shared" si="1"/>
        <v>0</v>
      </c>
      <c r="AF16" s="52">
        <f t="shared" si="1"/>
        <v>0</v>
      </c>
      <c r="AG16" s="52">
        <f t="shared" si="1"/>
        <v>0</v>
      </c>
      <c r="AH16" s="52">
        <f t="shared" si="1"/>
        <v>0</v>
      </c>
      <c r="AI16" s="52">
        <f t="shared" si="1"/>
        <v>0</v>
      </c>
      <c r="AJ16" s="52">
        <f t="shared" si="1"/>
        <v>0</v>
      </c>
      <c r="AK16" s="52">
        <f t="shared" si="1"/>
        <v>0</v>
      </c>
      <c r="AL16" s="52">
        <f t="shared" si="1"/>
        <v>0</v>
      </c>
      <c r="AM16" s="52">
        <f t="shared" si="1"/>
        <v>0</v>
      </c>
      <c r="AN16" s="52">
        <f t="shared" si="1"/>
        <v>0</v>
      </c>
      <c r="AO16" s="53">
        <f t="shared" si="1"/>
        <v>0</v>
      </c>
      <c r="AP16" s="86" t="s">
        <v>115</v>
      </c>
      <c r="AQ16" s="87"/>
      <c r="AR16" s="87"/>
      <c r="AS16" s="87"/>
      <c r="AT16" s="87"/>
      <c r="AU16" s="84">
        <f>AU4+AU8+AU12</f>
        <v>0</v>
      </c>
      <c r="AV16" s="85"/>
    </row>
    <row r="17" spans="1:41" ht="18" customHeight="1" x14ac:dyDescent="0.3">
      <c r="A17" s="83" t="s">
        <v>116</v>
      </c>
      <c r="B17" s="62"/>
      <c r="C17" s="62"/>
      <c r="D17" s="62"/>
      <c r="E17" s="62"/>
      <c r="F17" s="62"/>
      <c r="G17" s="62"/>
      <c r="H17" s="62"/>
      <c r="I17" s="62"/>
      <c r="J17" s="54">
        <f t="shared" ref="J17:AO17" si="2">J5+J9+J13</f>
        <v>0</v>
      </c>
      <c r="K17" s="54">
        <f t="shared" si="2"/>
        <v>0</v>
      </c>
      <c r="L17" s="54">
        <f t="shared" si="2"/>
        <v>0</v>
      </c>
      <c r="M17" s="54">
        <f t="shared" si="2"/>
        <v>0</v>
      </c>
      <c r="N17" s="54">
        <f t="shared" si="2"/>
        <v>0</v>
      </c>
      <c r="O17" s="54">
        <f t="shared" si="2"/>
        <v>0</v>
      </c>
      <c r="P17" s="54">
        <f t="shared" si="2"/>
        <v>0</v>
      </c>
      <c r="Q17" s="54">
        <f t="shared" si="2"/>
        <v>0</v>
      </c>
      <c r="R17" s="54">
        <f t="shared" si="2"/>
        <v>0</v>
      </c>
      <c r="S17" s="54">
        <f t="shared" si="2"/>
        <v>0</v>
      </c>
      <c r="T17" s="54">
        <f t="shared" si="2"/>
        <v>0</v>
      </c>
      <c r="U17" s="54">
        <f t="shared" si="2"/>
        <v>0</v>
      </c>
      <c r="V17" s="54">
        <f t="shared" si="2"/>
        <v>0</v>
      </c>
      <c r="W17" s="54">
        <f t="shared" si="2"/>
        <v>0</v>
      </c>
      <c r="X17" s="54">
        <f t="shared" si="2"/>
        <v>0</v>
      </c>
      <c r="Y17" s="54">
        <f t="shared" si="2"/>
        <v>0</v>
      </c>
      <c r="Z17" s="54">
        <f t="shared" si="2"/>
        <v>0</v>
      </c>
      <c r="AA17" s="54">
        <f t="shared" si="2"/>
        <v>0</v>
      </c>
      <c r="AB17" s="54">
        <f t="shared" si="2"/>
        <v>0</v>
      </c>
      <c r="AC17" s="54">
        <f t="shared" si="2"/>
        <v>0</v>
      </c>
      <c r="AD17" s="54">
        <f t="shared" si="2"/>
        <v>0</v>
      </c>
      <c r="AE17" s="54">
        <f t="shared" si="2"/>
        <v>0</v>
      </c>
      <c r="AF17" s="54">
        <f t="shared" si="2"/>
        <v>0</v>
      </c>
      <c r="AG17" s="54">
        <f t="shared" si="2"/>
        <v>0</v>
      </c>
      <c r="AH17" s="54">
        <f t="shared" si="2"/>
        <v>0</v>
      </c>
      <c r="AI17" s="54">
        <f t="shared" si="2"/>
        <v>0</v>
      </c>
      <c r="AJ17" s="54">
        <f t="shared" si="2"/>
        <v>0</v>
      </c>
      <c r="AK17" s="54">
        <f t="shared" si="2"/>
        <v>0</v>
      </c>
      <c r="AL17" s="54">
        <f t="shared" si="2"/>
        <v>0</v>
      </c>
      <c r="AM17" s="54">
        <f t="shared" si="2"/>
        <v>0</v>
      </c>
      <c r="AN17" s="54">
        <f t="shared" si="2"/>
        <v>0</v>
      </c>
      <c r="AO17" s="53">
        <f t="shared" si="2"/>
        <v>0</v>
      </c>
    </row>
    <row r="18" spans="1:41" ht="18" customHeight="1" x14ac:dyDescent="0.3">
      <c r="A18" s="81" t="s">
        <v>117</v>
      </c>
      <c r="B18" s="60"/>
      <c r="C18" s="60"/>
      <c r="D18" s="60"/>
      <c r="E18" s="60"/>
      <c r="F18" s="60"/>
      <c r="G18" s="60"/>
      <c r="H18" s="60"/>
      <c r="I18" s="60"/>
      <c r="J18" s="55">
        <f t="shared" ref="J18:AO18" si="3">J6+J10+J14</f>
        <v>0</v>
      </c>
      <c r="K18" s="55">
        <f t="shared" si="3"/>
        <v>0</v>
      </c>
      <c r="L18" s="55">
        <f t="shared" si="3"/>
        <v>0</v>
      </c>
      <c r="M18" s="55">
        <f t="shared" si="3"/>
        <v>0</v>
      </c>
      <c r="N18" s="55">
        <f t="shared" si="3"/>
        <v>0</v>
      </c>
      <c r="O18" s="55">
        <f t="shared" si="3"/>
        <v>0</v>
      </c>
      <c r="P18" s="55">
        <f t="shared" si="3"/>
        <v>0</v>
      </c>
      <c r="Q18" s="55">
        <f t="shared" si="3"/>
        <v>0</v>
      </c>
      <c r="R18" s="55">
        <f t="shared" si="3"/>
        <v>0</v>
      </c>
      <c r="S18" s="55">
        <f t="shared" si="3"/>
        <v>0</v>
      </c>
      <c r="T18" s="55">
        <f t="shared" si="3"/>
        <v>0</v>
      </c>
      <c r="U18" s="55">
        <f t="shared" si="3"/>
        <v>0</v>
      </c>
      <c r="V18" s="55">
        <f t="shared" si="3"/>
        <v>0</v>
      </c>
      <c r="W18" s="55">
        <f t="shared" si="3"/>
        <v>0</v>
      </c>
      <c r="X18" s="55">
        <f t="shared" si="3"/>
        <v>0</v>
      </c>
      <c r="Y18" s="55">
        <f t="shared" si="3"/>
        <v>0</v>
      </c>
      <c r="Z18" s="55">
        <f t="shared" si="3"/>
        <v>0</v>
      </c>
      <c r="AA18" s="55">
        <f t="shared" si="3"/>
        <v>0</v>
      </c>
      <c r="AB18" s="55">
        <f t="shared" si="3"/>
        <v>0</v>
      </c>
      <c r="AC18" s="55">
        <f t="shared" si="3"/>
        <v>0</v>
      </c>
      <c r="AD18" s="55">
        <f t="shared" si="3"/>
        <v>0</v>
      </c>
      <c r="AE18" s="55">
        <f t="shared" si="3"/>
        <v>0</v>
      </c>
      <c r="AF18" s="55">
        <f t="shared" si="3"/>
        <v>0</v>
      </c>
      <c r="AG18" s="55">
        <f t="shared" si="3"/>
        <v>0</v>
      </c>
      <c r="AH18" s="55">
        <f t="shared" si="3"/>
        <v>0</v>
      </c>
      <c r="AI18" s="55">
        <f t="shared" si="3"/>
        <v>0</v>
      </c>
      <c r="AJ18" s="55">
        <f t="shared" si="3"/>
        <v>0</v>
      </c>
      <c r="AK18" s="55">
        <f t="shared" si="3"/>
        <v>0</v>
      </c>
      <c r="AL18" s="55">
        <f t="shared" si="3"/>
        <v>0</v>
      </c>
      <c r="AM18" s="55">
        <f t="shared" si="3"/>
        <v>0</v>
      </c>
      <c r="AN18" s="55">
        <f t="shared" si="3"/>
        <v>0</v>
      </c>
      <c r="AO18" s="56">
        <f t="shared" si="3"/>
        <v>0</v>
      </c>
    </row>
    <row r="19" spans="1:41" ht="18" customHeight="1" x14ac:dyDescent="0.3">
      <c r="A19" s="78" t="s">
        <v>118</v>
      </c>
      <c r="B19" s="60"/>
      <c r="C19" s="60"/>
      <c r="D19" s="60"/>
      <c r="E19" s="60"/>
      <c r="F19" s="60"/>
      <c r="G19" s="60"/>
      <c r="H19" s="60"/>
      <c r="I19" s="60"/>
      <c r="J19" s="57">
        <f t="shared" ref="J19:AO19" si="4">J7+J11+J15</f>
        <v>0</v>
      </c>
      <c r="K19" s="57">
        <f t="shared" si="4"/>
        <v>0</v>
      </c>
      <c r="L19" s="57">
        <f t="shared" si="4"/>
        <v>0</v>
      </c>
      <c r="M19" s="57">
        <f t="shared" si="4"/>
        <v>0</v>
      </c>
      <c r="N19" s="57">
        <f t="shared" si="4"/>
        <v>0</v>
      </c>
      <c r="O19" s="57">
        <f t="shared" si="4"/>
        <v>0</v>
      </c>
      <c r="P19" s="57">
        <f t="shared" si="4"/>
        <v>0</v>
      </c>
      <c r="Q19" s="57">
        <f t="shared" si="4"/>
        <v>0</v>
      </c>
      <c r="R19" s="57">
        <f t="shared" si="4"/>
        <v>0</v>
      </c>
      <c r="S19" s="57">
        <f t="shared" si="4"/>
        <v>0</v>
      </c>
      <c r="T19" s="57">
        <f t="shared" si="4"/>
        <v>0</v>
      </c>
      <c r="U19" s="57">
        <f t="shared" si="4"/>
        <v>0</v>
      </c>
      <c r="V19" s="57">
        <f t="shared" si="4"/>
        <v>0</v>
      </c>
      <c r="W19" s="57">
        <f t="shared" si="4"/>
        <v>0</v>
      </c>
      <c r="X19" s="57">
        <f t="shared" si="4"/>
        <v>0</v>
      </c>
      <c r="Y19" s="57">
        <f t="shared" si="4"/>
        <v>0</v>
      </c>
      <c r="Z19" s="57">
        <f t="shared" si="4"/>
        <v>0</v>
      </c>
      <c r="AA19" s="57">
        <f t="shared" si="4"/>
        <v>0</v>
      </c>
      <c r="AB19" s="57">
        <f t="shared" si="4"/>
        <v>0</v>
      </c>
      <c r="AC19" s="57">
        <f t="shared" si="4"/>
        <v>0</v>
      </c>
      <c r="AD19" s="57">
        <f t="shared" si="4"/>
        <v>0</v>
      </c>
      <c r="AE19" s="57">
        <f t="shared" si="4"/>
        <v>0</v>
      </c>
      <c r="AF19" s="57">
        <f t="shared" si="4"/>
        <v>0</v>
      </c>
      <c r="AG19" s="57">
        <f t="shared" si="4"/>
        <v>0</v>
      </c>
      <c r="AH19" s="57">
        <f t="shared" si="4"/>
        <v>0</v>
      </c>
      <c r="AI19" s="57">
        <f t="shared" si="4"/>
        <v>0</v>
      </c>
      <c r="AJ19" s="57">
        <f t="shared" si="4"/>
        <v>0</v>
      </c>
      <c r="AK19" s="57">
        <f t="shared" si="4"/>
        <v>0</v>
      </c>
      <c r="AL19" s="57">
        <f t="shared" si="4"/>
        <v>0</v>
      </c>
      <c r="AM19" s="57">
        <f t="shared" si="4"/>
        <v>0</v>
      </c>
      <c r="AN19" s="57">
        <f t="shared" si="4"/>
        <v>0</v>
      </c>
      <c r="AO19" s="58">
        <f t="shared" si="4"/>
        <v>0</v>
      </c>
    </row>
  </sheetData>
  <mergeCells count="37">
    <mergeCell ref="AU16:AV16"/>
    <mergeCell ref="A10:A11"/>
    <mergeCell ref="B4:B5"/>
    <mergeCell ref="H8:H9"/>
    <mergeCell ref="F4:F5"/>
    <mergeCell ref="E12:E13"/>
    <mergeCell ref="H4:H5"/>
    <mergeCell ref="AP16:AT16"/>
    <mergeCell ref="A16:I16"/>
    <mergeCell ref="E8:E9"/>
    <mergeCell ref="A19:I19"/>
    <mergeCell ref="I8:I9"/>
    <mergeCell ref="C8:C9"/>
    <mergeCell ref="A4:A5"/>
    <mergeCell ref="H12:H13"/>
    <mergeCell ref="I4:I5"/>
    <mergeCell ref="D8:D9"/>
    <mergeCell ref="A18:I18"/>
    <mergeCell ref="A6:A7"/>
    <mergeCell ref="A17:I17"/>
    <mergeCell ref="A14:A15"/>
    <mergeCell ref="A1:AV1"/>
    <mergeCell ref="C4:C5"/>
    <mergeCell ref="AO2:AV2"/>
    <mergeCell ref="B12:B13"/>
    <mergeCell ref="E4:E5"/>
    <mergeCell ref="F12:F13"/>
    <mergeCell ref="B8:B9"/>
    <mergeCell ref="J2:AN2"/>
    <mergeCell ref="A2:I2"/>
    <mergeCell ref="F8:F9"/>
    <mergeCell ref="A12:A13"/>
    <mergeCell ref="D4:D5"/>
    <mergeCell ref="C12:C13"/>
    <mergeCell ref="I12:I13"/>
    <mergeCell ref="D12:D13"/>
    <mergeCell ref="A8:A9"/>
  </mergeCells>
  <conditionalFormatting sqref="J6:AN6">
    <cfRule type="expression" dxfId="47" priority="1" stopIfTrue="1">
      <formula>J6&gt;0</formula>
    </cfRule>
  </conditionalFormatting>
  <conditionalFormatting sqref="J7:AN7">
    <cfRule type="expression" dxfId="46" priority="2" stopIfTrue="1">
      <formula>J7&gt;0</formula>
    </cfRule>
  </conditionalFormatting>
  <conditionalFormatting sqref="J10:AN10">
    <cfRule type="expression" dxfId="45" priority="3" stopIfTrue="1">
      <formula>J10&gt;0</formula>
    </cfRule>
  </conditionalFormatting>
  <conditionalFormatting sqref="J11:AN11">
    <cfRule type="expression" dxfId="44" priority="4" stopIfTrue="1">
      <formula>J11&gt;0</formula>
    </cfRule>
  </conditionalFormatting>
  <conditionalFormatting sqref="J14:AN14">
    <cfRule type="expression" dxfId="43" priority="5" stopIfTrue="1">
      <formula>J14&gt;0</formula>
    </cfRule>
  </conditionalFormatting>
  <conditionalFormatting sqref="J15:AN15">
    <cfRule type="expression" dxfId="42" priority="6" stopIfTrue="1">
      <formula>J15&gt;0</formula>
    </cfRule>
  </conditionalFormatting>
  <conditionalFormatting sqref="J18:AN18">
    <cfRule type="expression" dxfId="41" priority="7" stopIfTrue="1">
      <formula>J18&gt;0</formula>
    </cfRule>
  </conditionalFormatting>
  <conditionalFormatting sqref="J19:AN19">
    <cfRule type="expression" dxfId="40" priority="8" stopIfTrue="1">
      <formula>J19&gt;0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9"/>
  <sheetViews>
    <sheetView zoomScaleNormal="100" workbookViewId="0">
      <pane xSplit="9" ySplit="3" topLeftCell="J4" activePane="bottomRight" state="frozen"/>
      <selection pane="topRight" activeCell="J1" sqref="J1"/>
      <selection pane="bottomLeft" activeCell="A4" sqref="A4"/>
      <selection pane="bottomRight" sqref="A1:AW1"/>
    </sheetView>
  </sheetViews>
  <sheetFormatPr defaultColWidth="8.6640625" defaultRowHeight="14.4" x14ac:dyDescent="0.3"/>
  <cols>
    <col min="1" max="1" width="5" customWidth="1"/>
    <col min="2" max="3" width="14" customWidth="1"/>
    <col min="4" max="4" width="10" customWidth="1"/>
    <col min="5" max="5" width="12" customWidth="1"/>
    <col min="6" max="6" width="26" customWidth="1"/>
    <col min="7" max="7" width="9" customWidth="1"/>
    <col min="8" max="8" width="7" customWidth="1"/>
    <col min="9" max="9" width="8" customWidth="1"/>
    <col min="10" max="40" width="7" customWidth="1"/>
    <col min="41" max="49" width="14" customWidth="1"/>
  </cols>
  <sheetData>
    <row r="1" spans="1:49" ht="30" customHeight="1" x14ac:dyDescent="0.3">
      <c r="A1" s="71" t="s">
        <v>184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</row>
    <row r="2" spans="1:49" ht="21.75" customHeight="1" x14ac:dyDescent="0.3">
      <c r="A2" s="76" t="s">
        <v>63</v>
      </c>
      <c r="B2" s="60"/>
      <c r="C2" s="60"/>
      <c r="D2" s="60"/>
      <c r="E2" s="60"/>
      <c r="F2" s="60"/>
      <c r="G2" s="60"/>
      <c r="H2" s="60"/>
      <c r="I2" s="60"/>
      <c r="J2" s="75" t="s">
        <v>64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74" t="s">
        <v>65</v>
      </c>
      <c r="AP2" s="60"/>
      <c r="AQ2" s="60"/>
      <c r="AR2" s="60"/>
      <c r="AS2" s="60"/>
      <c r="AT2" s="60"/>
      <c r="AU2" s="60"/>
      <c r="AV2" s="60"/>
    </row>
    <row r="3" spans="1:49" ht="42" customHeight="1" x14ac:dyDescent="0.3">
      <c r="A3" s="30" t="s">
        <v>39</v>
      </c>
      <c r="B3" s="30" t="s">
        <v>66</v>
      </c>
      <c r="C3" s="30" t="s">
        <v>40</v>
      </c>
      <c r="D3" s="30" t="s">
        <v>41</v>
      </c>
      <c r="E3" s="30" t="s">
        <v>67</v>
      </c>
      <c r="F3" s="30" t="s">
        <v>68</v>
      </c>
      <c r="G3" s="30" t="s">
        <v>69</v>
      </c>
      <c r="H3" s="30" t="s">
        <v>70</v>
      </c>
      <c r="I3" s="30" t="s">
        <v>71</v>
      </c>
      <c r="J3" s="32" t="s">
        <v>185</v>
      </c>
      <c r="K3" s="32" t="s">
        <v>186</v>
      </c>
      <c r="L3" s="31" t="s">
        <v>187</v>
      </c>
      <c r="M3" s="31" t="s">
        <v>188</v>
      </c>
      <c r="N3" s="31" t="s">
        <v>189</v>
      </c>
      <c r="O3" s="31" t="s">
        <v>190</v>
      </c>
      <c r="P3" s="31" t="s">
        <v>191</v>
      </c>
      <c r="Q3" s="32" t="s">
        <v>192</v>
      </c>
      <c r="R3" s="32" t="s">
        <v>193</v>
      </c>
      <c r="S3" s="31" t="s">
        <v>194</v>
      </c>
      <c r="T3" s="31" t="s">
        <v>195</v>
      </c>
      <c r="U3" s="31" t="s">
        <v>196</v>
      </c>
      <c r="V3" s="31" t="s">
        <v>197</v>
      </c>
      <c r="W3" s="31" t="s">
        <v>198</v>
      </c>
      <c r="X3" s="32" t="s">
        <v>199</v>
      </c>
      <c r="Y3" s="32" t="s">
        <v>200</v>
      </c>
      <c r="Z3" s="31" t="s">
        <v>201</v>
      </c>
      <c r="AA3" s="31" t="s">
        <v>202</v>
      </c>
      <c r="AB3" s="31" t="s">
        <v>203</v>
      </c>
      <c r="AC3" s="31" t="s">
        <v>204</v>
      </c>
      <c r="AD3" s="31" t="s">
        <v>205</v>
      </c>
      <c r="AE3" s="32" t="s">
        <v>206</v>
      </c>
      <c r="AF3" s="32" t="s">
        <v>207</v>
      </c>
      <c r="AG3" s="31" t="s">
        <v>208</v>
      </c>
      <c r="AH3" s="31" t="s">
        <v>209</v>
      </c>
      <c r="AI3" s="31" t="s">
        <v>210</v>
      </c>
      <c r="AJ3" s="31" t="s">
        <v>211</v>
      </c>
      <c r="AK3" s="31" t="s">
        <v>212</v>
      </c>
      <c r="AL3" s="32" t="s">
        <v>213</v>
      </c>
      <c r="AM3" s="32" t="s">
        <v>214</v>
      </c>
      <c r="AN3" s="31" t="s">
        <v>215</v>
      </c>
      <c r="AO3" s="13" t="s">
        <v>102</v>
      </c>
      <c r="AP3" s="13" t="s">
        <v>103</v>
      </c>
      <c r="AQ3" s="13" t="s">
        <v>104</v>
      </c>
      <c r="AR3" s="13" t="s">
        <v>105</v>
      </c>
      <c r="AS3" s="13" t="s">
        <v>106</v>
      </c>
      <c r="AT3" s="13" t="s">
        <v>107</v>
      </c>
      <c r="AU3" s="13" t="s">
        <v>108</v>
      </c>
      <c r="AV3" s="13" t="s">
        <v>109</v>
      </c>
      <c r="AW3" s="13" t="s">
        <v>55</v>
      </c>
    </row>
    <row r="4" spans="1:49" ht="19.5" customHeight="1" x14ac:dyDescent="0.3">
      <c r="A4" s="77" t="s">
        <v>110</v>
      </c>
      <c r="B4" s="72" t="s">
        <v>25</v>
      </c>
      <c r="C4" s="72" t="s">
        <v>58</v>
      </c>
      <c r="D4" s="77" t="s">
        <v>2</v>
      </c>
      <c r="E4" s="73" t="s">
        <v>27</v>
      </c>
      <c r="F4" s="73" t="s">
        <v>29</v>
      </c>
      <c r="G4" s="38" t="s">
        <v>59</v>
      </c>
      <c r="H4" s="73">
        <v>70</v>
      </c>
      <c r="I4" s="73">
        <v>70</v>
      </c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>
        <f t="shared" ref="AO4:AO15" si="0">SUM(J4:AN4)</f>
        <v>0</v>
      </c>
      <c r="AP4" s="41">
        <f>'⚙ Настройки'!B9</f>
        <v>14</v>
      </c>
      <c r="AQ4" s="42">
        <f>IFERROR(AO5/AO4*100,0)</f>
        <v>0</v>
      </c>
      <c r="AR4" s="42">
        <f>IFERROR(AO4*AP4/100,0)</f>
        <v>0</v>
      </c>
      <c r="AS4" s="42">
        <f>AO5</f>
        <v>0</v>
      </c>
      <c r="AT4" s="42">
        <f>AR4-AS4</f>
        <v>0</v>
      </c>
      <c r="AU4" s="43">
        <f>IFERROR((AS4-AR4)/AR4*100,0)</f>
        <v>0</v>
      </c>
      <c r="AV4" s="41">
        <f>AS4*'⚙ Настройки'!B10</f>
        <v>0</v>
      </c>
      <c r="AW4" s="44" t="str">
        <f>IF(AO4=0,"—",IF(AU4&lt;='⚙ Настройки'!B11,"✅ ОК","⚠️ ПЕРЕРАСХОД"))</f>
        <v>—</v>
      </c>
    </row>
    <row r="5" spans="1:49" ht="18" customHeight="1" x14ac:dyDescent="0.3">
      <c r="A5" s="68"/>
      <c r="B5" s="68"/>
      <c r="C5" s="68"/>
      <c r="D5" s="68"/>
      <c r="E5" s="68"/>
      <c r="F5" s="68"/>
      <c r="G5" s="45" t="s">
        <v>111</v>
      </c>
      <c r="H5" s="68"/>
      <c r="I5" s="68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7">
        <f t="shared" si="0"/>
        <v>0</v>
      </c>
      <c r="AP5" s="18"/>
      <c r="AQ5" s="15"/>
      <c r="AR5" s="18"/>
      <c r="AS5" s="15"/>
      <c r="AT5" s="15"/>
      <c r="AU5" s="15"/>
      <c r="AV5" s="15"/>
      <c r="AW5" s="15"/>
    </row>
    <row r="6" spans="1:49" ht="16.95" customHeight="1" x14ac:dyDescent="0.3">
      <c r="A6" s="88" t="s">
        <v>15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9">
        <f t="shared" si="0"/>
        <v>0</v>
      </c>
    </row>
    <row r="7" spans="1:49" ht="16.95" customHeight="1" x14ac:dyDescent="0.3">
      <c r="A7" s="6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1">
        <f t="shared" si="0"/>
        <v>0</v>
      </c>
    </row>
    <row r="8" spans="1:49" ht="19.5" customHeight="1" x14ac:dyDescent="0.3">
      <c r="A8" s="77" t="s">
        <v>112</v>
      </c>
      <c r="B8" s="72" t="s">
        <v>25</v>
      </c>
      <c r="C8" s="72" t="s">
        <v>58</v>
      </c>
      <c r="D8" s="77" t="s">
        <v>3</v>
      </c>
      <c r="E8" s="73" t="s">
        <v>27</v>
      </c>
      <c r="F8" s="73" t="s">
        <v>30</v>
      </c>
      <c r="G8" s="38" t="s">
        <v>59</v>
      </c>
      <c r="H8" s="73">
        <v>70</v>
      </c>
      <c r="I8" s="73">
        <v>70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40">
        <f t="shared" si="0"/>
        <v>0</v>
      </c>
      <c r="AP8" s="41">
        <f>'⚙ Настройки'!C9</f>
        <v>14</v>
      </c>
      <c r="AQ8" s="42">
        <f>IFERROR(AO9/AO8*100,0)</f>
        <v>0</v>
      </c>
      <c r="AR8" s="42">
        <f>IFERROR(AO8*AP8/100,0)</f>
        <v>0</v>
      </c>
      <c r="AS8" s="42">
        <f>AO9</f>
        <v>0</v>
      </c>
      <c r="AT8" s="42">
        <f>AR8-AS8</f>
        <v>0</v>
      </c>
      <c r="AU8" s="43">
        <f>IFERROR((AS8-AR8)/AR8*100,0)</f>
        <v>0</v>
      </c>
      <c r="AV8" s="41">
        <f>AS8*'⚙ Настройки'!C10</f>
        <v>0</v>
      </c>
      <c r="AW8" s="44" t="str">
        <f>IF(AO8=0,"—",IF(AU8&lt;='⚙ Настройки'!C11,"✅ ОК","⚠️ ПЕРЕРАСХОД"))</f>
        <v>—</v>
      </c>
    </row>
    <row r="9" spans="1:49" ht="18" customHeight="1" x14ac:dyDescent="0.3">
      <c r="A9" s="68"/>
      <c r="B9" s="68"/>
      <c r="C9" s="68"/>
      <c r="D9" s="68"/>
      <c r="E9" s="68"/>
      <c r="F9" s="68"/>
      <c r="G9" s="45" t="s">
        <v>111</v>
      </c>
      <c r="H9" s="68"/>
      <c r="I9" s="68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7">
        <f t="shared" si="0"/>
        <v>0</v>
      </c>
      <c r="AP9" s="18"/>
      <c r="AQ9" s="15"/>
      <c r="AR9" s="18"/>
      <c r="AS9" s="15"/>
      <c r="AT9" s="15"/>
      <c r="AU9" s="15"/>
      <c r="AV9" s="15"/>
      <c r="AW9" s="15"/>
    </row>
    <row r="10" spans="1:49" ht="16.95" customHeight="1" x14ac:dyDescent="0.3">
      <c r="A10" s="88" t="s">
        <v>15</v>
      </c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9">
        <f t="shared" si="0"/>
        <v>0</v>
      </c>
    </row>
    <row r="11" spans="1:49" ht="16.95" customHeight="1" x14ac:dyDescent="0.3">
      <c r="A11" s="6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1">
        <f t="shared" si="0"/>
        <v>0</v>
      </c>
    </row>
    <row r="12" spans="1:49" ht="19.5" customHeight="1" x14ac:dyDescent="0.3">
      <c r="A12" s="77" t="s">
        <v>113</v>
      </c>
      <c r="B12" s="72" t="s">
        <v>25</v>
      </c>
      <c r="C12" s="72" t="s">
        <v>58</v>
      </c>
      <c r="D12" s="77" t="s">
        <v>4</v>
      </c>
      <c r="E12" s="73" t="s">
        <v>27</v>
      </c>
      <c r="F12" s="73" t="s">
        <v>31</v>
      </c>
      <c r="G12" s="38" t="s">
        <v>59</v>
      </c>
      <c r="H12" s="73">
        <v>70</v>
      </c>
      <c r="I12" s="73">
        <v>70</v>
      </c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40">
        <f t="shared" si="0"/>
        <v>0</v>
      </c>
      <c r="AP12" s="41">
        <f>'⚙ Настройки'!D9</f>
        <v>14</v>
      </c>
      <c r="AQ12" s="42">
        <f>IFERROR(AO13/AO12*100,0)</f>
        <v>0</v>
      </c>
      <c r="AR12" s="42">
        <f>IFERROR(AO12*AP12/100,0)</f>
        <v>0</v>
      </c>
      <c r="AS12" s="42">
        <f>AO13</f>
        <v>0</v>
      </c>
      <c r="AT12" s="42">
        <f>AR12-AS12</f>
        <v>0</v>
      </c>
      <c r="AU12" s="43">
        <f>IFERROR((AS12-AR12)/AR12*100,0)</f>
        <v>0</v>
      </c>
      <c r="AV12" s="41">
        <f>AS12*'⚙ Настройки'!D10</f>
        <v>0</v>
      </c>
      <c r="AW12" s="44" t="str">
        <f>IF(AO12=0,"—",IF(AU12&lt;='⚙ Настройки'!D11,"✅ ОК","⚠️ ПЕРЕРАСХОД"))</f>
        <v>—</v>
      </c>
    </row>
    <row r="13" spans="1:49" ht="18" customHeight="1" x14ac:dyDescent="0.3">
      <c r="A13" s="68"/>
      <c r="B13" s="68"/>
      <c r="C13" s="68"/>
      <c r="D13" s="68"/>
      <c r="E13" s="68"/>
      <c r="F13" s="68"/>
      <c r="G13" s="45" t="s">
        <v>111</v>
      </c>
      <c r="H13" s="68"/>
      <c r="I13" s="6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7">
        <f t="shared" si="0"/>
        <v>0</v>
      </c>
      <c r="AP13" s="18"/>
      <c r="AQ13" s="15"/>
      <c r="AR13" s="18"/>
      <c r="AS13" s="15"/>
      <c r="AT13" s="15"/>
      <c r="AU13" s="15"/>
      <c r="AV13" s="15"/>
      <c r="AW13" s="15"/>
    </row>
    <row r="14" spans="1:49" ht="16.95" customHeight="1" x14ac:dyDescent="0.3">
      <c r="A14" s="88" t="s">
        <v>15</v>
      </c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9">
        <f t="shared" si="0"/>
        <v>0</v>
      </c>
    </row>
    <row r="15" spans="1:49" ht="16.95" customHeight="1" x14ac:dyDescent="0.3">
      <c r="A15" s="6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1">
        <f t="shared" si="0"/>
        <v>0</v>
      </c>
    </row>
    <row r="16" spans="1:49" ht="21" customHeight="1" x14ac:dyDescent="0.3">
      <c r="A16" s="83" t="s">
        <v>114</v>
      </c>
      <c r="B16" s="62"/>
      <c r="C16" s="62"/>
      <c r="D16" s="62"/>
      <c r="E16" s="62"/>
      <c r="F16" s="62"/>
      <c r="G16" s="62"/>
      <c r="H16" s="62"/>
      <c r="I16" s="62"/>
      <c r="J16" s="52">
        <f t="shared" ref="J16:AO16" si="1">J4+J8+J12</f>
        <v>0</v>
      </c>
      <c r="K16" s="52">
        <f t="shared" si="1"/>
        <v>0</v>
      </c>
      <c r="L16" s="52">
        <f t="shared" si="1"/>
        <v>0</v>
      </c>
      <c r="M16" s="52">
        <f t="shared" si="1"/>
        <v>0</v>
      </c>
      <c r="N16" s="52">
        <f t="shared" si="1"/>
        <v>0</v>
      </c>
      <c r="O16" s="52">
        <f t="shared" si="1"/>
        <v>0</v>
      </c>
      <c r="P16" s="52">
        <f t="shared" si="1"/>
        <v>0</v>
      </c>
      <c r="Q16" s="52">
        <f t="shared" si="1"/>
        <v>0</v>
      </c>
      <c r="R16" s="52">
        <f t="shared" si="1"/>
        <v>0</v>
      </c>
      <c r="S16" s="52">
        <f t="shared" si="1"/>
        <v>0</v>
      </c>
      <c r="T16" s="52">
        <f t="shared" si="1"/>
        <v>0</v>
      </c>
      <c r="U16" s="52">
        <f t="shared" si="1"/>
        <v>0</v>
      </c>
      <c r="V16" s="52">
        <f t="shared" si="1"/>
        <v>0</v>
      </c>
      <c r="W16" s="52">
        <f t="shared" si="1"/>
        <v>0</v>
      </c>
      <c r="X16" s="52">
        <f t="shared" si="1"/>
        <v>0</v>
      </c>
      <c r="Y16" s="52">
        <f t="shared" si="1"/>
        <v>0</v>
      </c>
      <c r="Z16" s="52">
        <f t="shared" si="1"/>
        <v>0</v>
      </c>
      <c r="AA16" s="52">
        <f t="shared" si="1"/>
        <v>0</v>
      </c>
      <c r="AB16" s="52">
        <f t="shared" si="1"/>
        <v>0</v>
      </c>
      <c r="AC16" s="52">
        <f t="shared" si="1"/>
        <v>0</v>
      </c>
      <c r="AD16" s="52">
        <f t="shared" si="1"/>
        <v>0</v>
      </c>
      <c r="AE16" s="52">
        <f t="shared" si="1"/>
        <v>0</v>
      </c>
      <c r="AF16" s="52">
        <f t="shared" si="1"/>
        <v>0</v>
      </c>
      <c r="AG16" s="52">
        <f t="shared" si="1"/>
        <v>0</v>
      </c>
      <c r="AH16" s="52">
        <f t="shared" si="1"/>
        <v>0</v>
      </c>
      <c r="AI16" s="52">
        <f t="shared" si="1"/>
        <v>0</v>
      </c>
      <c r="AJ16" s="52">
        <f t="shared" si="1"/>
        <v>0</v>
      </c>
      <c r="AK16" s="52">
        <f t="shared" si="1"/>
        <v>0</v>
      </c>
      <c r="AL16" s="52">
        <f t="shared" si="1"/>
        <v>0</v>
      </c>
      <c r="AM16" s="52">
        <f t="shared" si="1"/>
        <v>0</v>
      </c>
      <c r="AN16" s="52">
        <f t="shared" si="1"/>
        <v>0</v>
      </c>
      <c r="AO16" s="53">
        <f t="shared" si="1"/>
        <v>0</v>
      </c>
      <c r="AP16" s="86" t="s">
        <v>115</v>
      </c>
      <c r="AQ16" s="87"/>
      <c r="AR16" s="87"/>
      <c r="AS16" s="87"/>
      <c r="AT16" s="87"/>
      <c r="AU16" s="84">
        <f>AU4+AU8+AU12</f>
        <v>0</v>
      </c>
      <c r="AV16" s="85"/>
    </row>
    <row r="17" spans="1:41" ht="18" customHeight="1" x14ac:dyDescent="0.3">
      <c r="A17" s="83" t="s">
        <v>116</v>
      </c>
      <c r="B17" s="62"/>
      <c r="C17" s="62"/>
      <c r="D17" s="62"/>
      <c r="E17" s="62"/>
      <c r="F17" s="62"/>
      <c r="G17" s="62"/>
      <c r="H17" s="62"/>
      <c r="I17" s="62"/>
      <c r="J17" s="54">
        <f t="shared" ref="J17:AO17" si="2">J5+J9+J13</f>
        <v>0</v>
      </c>
      <c r="K17" s="54">
        <f t="shared" si="2"/>
        <v>0</v>
      </c>
      <c r="L17" s="54">
        <f t="shared" si="2"/>
        <v>0</v>
      </c>
      <c r="M17" s="54">
        <f t="shared" si="2"/>
        <v>0</v>
      </c>
      <c r="N17" s="54">
        <f t="shared" si="2"/>
        <v>0</v>
      </c>
      <c r="O17" s="54">
        <f t="shared" si="2"/>
        <v>0</v>
      </c>
      <c r="P17" s="54">
        <f t="shared" si="2"/>
        <v>0</v>
      </c>
      <c r="Q17" s="54">
        <f t="shared" si="2"/>
        <v>0</v>
      </c>
      <c r="R17" s="54">
        <f t="shared" si="2"/>
        <v>0</v>
      </c>
      <c r="S17" s="54">
        <f t="shared" si="2"/>
        <v>0</v>
      </c>
      <c r="T17" s="54">
        <f t="shared" si="2"/>
        <v>0</v>
      </c>
      <c r="U17" s="54">
        <f t="shared" si="2"/>
        <v>0</v>
      </c>
      <c r="V17" s="54">
        <f t="shared" si="2"/>
        <v>0</v>
      </c>
      <c r="W17" s="54">
        <f t="shared" si="2"/>
        <v>0</v>
      </c>
      <c r="X17" s="54">
        <f t="shared" si="2"/>
        <v>0</v>
      </c>
      <c r="Y17" s="54">
        <f t="shared" si="2"/>
        <v>0</v>
      </c>
      <c r="Z17" s="54">
        <f t="shared" si="2"/>
        <v>0</v>
      </c>
      <c r="AA17" s="54">
        <f t="shared" si="2"/>
        <v>0</v>
      </c>
      <c r="AB17" s="54">
        <f t="shared" si="2"/>
        <v>0</v>
      </c>
      <c r="AC17" s="54">
        <f t="shared" si="2"/>
        <v>0</v>
      </c>
      <c r="AD17" s="54">
        <f t="shared" si="2"/>
        <v>0</v>
      </c>
      <c r="AE17" s="54">
        <f t="shared" si="2"/>
        <v>0</v>
      </c>
      <c r="AF17" s="54">
        <f t="shared" si="2"/>
        <v>0</v>
      </c>
      <c r="AG17" s="54">
        <f t="shared" si="2"/>
        <v>0</v>
      </c>
      <c r="AH17" s="54">
        <f t="shared" si="2"/>
        <v>0</v>
      </c>
      <c r="AI17" s="54">
        <f t="shared" si="2"/>
        <v>0</v>
      </c>
      <c r="AJ17" s="54">
        <f t="shared" si="2"/>
        <v>0</v>
      </c>
      <c r="AK17" s="54">
        <f t="shared" si="2"/>
        <v>0</v>
      </c>
      <c r="AL17" s="54">
        <f t="shared" si="2"/>
        <v>0</v>
      </c>
      <c r="AM17" s="54">
        <f t="shared" si="2"/>
        <v>0</v>
      </c>
      <c r="AN17" s="54">
        <f t="shared" si="2"/>
        <v>0</v>
      </c>
      <c r="AO17" s="53">
        <f t="shared" si="2"/>
        <v>0</v>
      </c>
    </row>
    <row r="18" spans="1:41" ht="18" customHeight="1" x14ac:dyDescent="0.3">
      <c r="A18" s="81" t="s">
        <v>117</v>
      </c>
      <c r="B18" s="60"/>
      <c r="C18" s="60"/>
      <c r="D18" s="60"/>
      <c r="E18" s="60"/>
      <c r="F18" s="60"/>
      <c r="G18" s="60"/>
      <c r="H18" s="60"/>
      <c r="I18" s="60"/>
      <c r="J18" s="55">
        <f t="shared" ref="J18:AO18" si="3">J6+J10+J14</f>
        <v>0</v>
      </c>
      <c r="K18" s="55">
        <f t="shared" si="3"/>
        <v>0</v>
      </c>
      <c r="L18" s="55">
        <f t="shared" si="3"/>
        <v>0</v>
      </c>
      <c r="M18" s="55">
        <f t="shared" si="3"/>
        <v>0</v>
      </c>
      <c r="N18" s="55">
        <f t="shared" si="3"/>
        <v>0</v>
      </c>
      <c r="O18" s="55">
        <f t="shared" si="3"/>
        <v>0</v>
      </c>
      <c r="P18" s="55">
        <f t="shared" si="3"/>
        <v>0</v>
      </c>
      <c r="Q18" s="55">
        <f t="shared" si="3"/>
        <v>0</v>
      </c>
      <c r="R18" s="55">
        <f t="shared" si="3"/>
        <v>0</v>
      </c>
      <c r="S18" s="55">
        <f t="shared" si="3"/>
        <v>0</v>
      </c>
      <c r="T18" s="55">
        <f t="shared" si="3"/>
        <v>0</v>
      </c>
      <c r="U18" s="55">
        <f t="shared" si="3"/>
        <v>0</v>
      </c>
      <c r="V18" s="55">
        <f t="shared" si="3"/>
        <v>0</v>
      </c>
      <c r="W18" s="55">
        <f t="shared" si="3"/>
        <v>0</v>
      </c>
      <c r="X18" s="55">
        <f t="shared" si="3"/>
        <v>0</v>
      </c>
      <c r="Y18" s="55">
        <f t="shared" si="3"/>
        <v>0</v>
      </c>
      <c r="Z18" s="55">
        <f t="shared" si="3"/>
        <v>0</v>
      </c>
      <c r="AA18" s="55">
        <f t="shared" si="3"/>
        <v>0</v>
      </c>
      <c r="AB18" s="55">
        <f t="shared" si="3"/>
        <v>0</v>
      </c>
      <c r="AC18" s="55">
        <f t="shared" si="3"/>
        <v>0</v>
      </c>
      <c r="AD18" s="55">
        <f t="shared" si="3"/>
        <v>0</v>
      </c>
      <c r="AE18" s="55">
        <f t="shared" si="3"/>
        <v>0</v>
      </c>
      <c r="AF18" s="55">
        <f t="shared" si="3"/>
        <v>0</v>
      </c>
      <c r="AG18" s="55">
        <f t="shared" si="3"/>
        <v>0</v>
      </c>
      <c r="AH18" s="55">
        <f t="shared" si="3"/>
        <v>0</v>
      </c>
      <c r="AI18" s="55">
        <f t="shared" si="3"/>
        <v>0</v>
      </c>
      <c r="AJ18" s="55">
        <f t="shared" si="3"/>
        <v>0</v>
      </c>
      <c r="AK18" s="55">
        <f t="shared" si="3"/>
        <v>0</v>
      </c>
      <c r="AL18" s="55">
        <f t="shared" si="3"/>
        <v>0</v>
      </c>
      <c r="AM18" s="55">
        <f t="shared" si="3"/>
        <v>0</v>
      </c>
      <c r="AN18" s="55">
        <f t="shared" si="3"/>
        <v>0</v>
      </c>
      <c r="AO18" s="56">
        <f t="shared" si="3"/>
        <v>0</v>
      </c>
    </row>
    <row r="19" spans="1:41" ht="18" customHeight="1" x14ac:dyDescent="0.3">
      <c r="A19" s="78" t="s">
        <v>118</v>
      </c>
      <c r="B19" s="60"/>
      <c r="C19" s="60"/>
      <c r="D19" s="60"/>
      <c r="E19" s="60"/>
      <c r="F19" s="60"/>
      <c r="G19" s="60"/>
      <c r="H19" s="60"/>
      <c r="I19" s="60"/>
      <c r="J19" s="57">
        <f t="shared" ref="J19:AO19" si="4">J7+J11+J15</f>
        <v>0</v>
      </c>
      <c r="K19" s="57">
        <f t="shared" si="4"/>
        <v>0</v>
      </c>
      <c r="L19" s="57">
        <f t="shared" si="4"/>
        <v>0</v>
      </c>
      <c r="M19" s="57">
        <f t="shared" si="4"/>
        <v>0</v>
      </c>
      <c r="N19" s="57">
        <f t="shared" si="4"/>
        <v>0</v>
      </c>
      <c r="O19" s="57">
        <f t="shared" si="4"/>
        <v>0</v>
      </c>
      <c r="P19" s="57">
        <f t="shared" si="4"/>
        <v>0</v>
      </c>
      <c r="Q19" s="57">
        <f t="shared" si="4"/>
        <v>0</v>
      </c>
      <c r="R19" s="57">
        <f t="shared" si="4"/>
        <v>0</v>
      </c>
      <c r="S19" s="57">
        <f t="shared" si="4"/>
        <v>0</v>
      </c>
      <c r="T19" s="57">
        <f t="shared" si="4"/>
        <v>0</v>
      </c>
      <c r="U19" s="57">
        <f t="shared" si="4"/>
        <v>0</v>
      </c>
      <c r="V19" s="57">
        <f t="shared" si="4"/>
        <v>0</v>
      </c>
      <c r="W19" s="57">
        <f t="shared" si="4"/>
        <v>0</v>
      </c>
      <c r="X19" s="57">
        <f t="shared" si="4"/>
        <v>0</v>
      </c>
      <c r="Y19" s="57">
        <f t="shared" si="4"/>
        <v>0</v>
      </c>
      <c r="Z19" s="57">
        <f t="shared" si="4"/>
        <v>0</v>
      </c>
      <c r="AA19" s="57">
        <f t="shared" si="4"/>
        <v>0</v>
      </c>
      <c r="AB19" s="57">
        <f t="shared" si="4"/>
        <v>0</v>
      </c>
      <c r="AC19" s="57">
        <f t="shared" si="4"/>
        <v>0</v>
      </c>
      <c r="AD19" s="57">
        <f t="shared" si="4"/>
        <v>0</v>
      </c>
      <c r="AE19" s="57">
        <f t="shared" si="4"/>
        <v>0</v>
      </c>
      <c r="AF19" s="57">
        <f t="shared" si="4"/>
        <v>0</v>
      </c>
      <c r="AG19" s="57">
        <f t="shared" si="4"/>
        <v>0</v>
      </c>
      <c r="AH19" s="57">
        <f t="shared" si="4"/>
        <v>0</v>
      </c>
      <c r="AI19" s="57">
        <f t="shared" si="4"/>
        <v>0</v>
      </c>
      <c r="AJ19" s="57">
        <f t="shared" si="4"/>
        <v>0</v>
      </c>
      <c r="AK19" s="57">
        <f t="shared" si="4"/>
        <v>0</v>
      </c>
      <c r="AL19" s="57">
        <f t="shared" si="4"/>
        <v>0</v>
      </c>
      <c r="AM19" s="57">
        <f t="shared" si="4"/>
        <v>0</v>
      </c>
      <c r="AN19" s="57">
        <f t="shared" si="4"/>
        <v>0</v>
      </c>
      <c r="AO19" s="58">
        <f t="shared" si="4"/>
        <v>0</v>
      </c>
    </row>
  </sheetData>
  <mergeCells count="37">
    <mergeCell ref="AU16:AV16"/>
    <mergeCell ref="A10:A11"/>
    <mergeCell ref="B4:B5"/>
    <mergeCell ref="H8:H9"/>
    <mergeCell ref="F4:F5"/>
    <mergeCell ref="E12:E13"/>
    <mergeCell ref="H4:H5"/>
    <mergeCell ref="AP16:AT16"/>
    <mergeCell ref="A16:I16"/>
    <mergeCell ref="E8:E9"/>
    <mergeCell ref="A19:I19"/>
    <mergeCell ref="I8:I9"/>
    <mergeCell ref="C8:C9"/>
    <mergeCell ref="A4:A5"/>
    <mergeCell ref="H12:H13"/>
    <mergeCell ref="I4:I5"/>
    <mergeCell ref="D8:D9"/>
    <mergeCell ref="A18:I18"/>
    <mergeCell ref="A6:A7"/>
    <mergeCell ref="A17:I17"/>
    <mergeCell ref="A14:A15"/>
    <mergeCell ref="A1:AV1"/>
    <mergeCell ref="C4:C5"/>
    <mergeCell ref="AO2:AV2"/>
    <mergeCell ref="B12:B13"/>
    <mergeCell ref="E4:E5"/>
    <mergeCell ref="F12:F13"/>
    <mergeCell ref="B8:B9"/>
    <mergeCell ref="J2:AN2"/>
    <mergeCell ref="A2:I2"/>
    <mergeCell ref="F8:F9"/>
    <mergeCell ref="A12:A13"/>
    <mergeCell ref="D4:D5"/>
    <mergeCell ref="C12:C13"/>
    <mergeCell ref="I12:I13"/>
    <mergeCell ref="D12:D13"/>
    <mergeCell ref="A8:A9"/>
  </mergeCells>
  <conditionalFormatting sqref="J6:AN6">
    <cfRule type="expression" dxfId="39" priority="1" stopIfTrue="1">
      <formula>J6&gt;0</formula>
    </cfRule>
  </conditionalFormatting>
  <conditionalFormatting sqref="J7:AN7">
    <cfRule type="expression" dxfId="38" priority="2" stopIfTrue="1">
      <formula>J7&gt;0</formula>
    </cfRule>
  </conditionalFormatting>
  <conditionalFormatting sqref="J10:AN10">
    <cfRule type="expression" dxfId="37" priority="3" stopIfTrue="1">
      <formula>J10&gt;0</formula>
    </cfRule>
  </conditionalFormatting>
  <conditionalFormatting sqref="J11:AN11">
    <cfRule type="expression" dxfId="36" priority="4" stopIfTrue="1">
      <formula>J11&gt;0</formula>
    </cfRule>
  </conditionalFormatting>
  <conditionalFormatting sqref="J14:AN14">
    <cfRule type="expression" dxfId="35" priority="5" stopIfTrue="1">
      <formula>J14&gt;0</formula>
    </cfRule>
  </conditionalFormatting>
  <conditionalFormatting sqref="J15:AN15">
    <cfRule type="expression" dxfId="34" priority="6" stopIfTrue="1">
      <formula>J15&gt;0</formula>
    </cfRule>
  </conditionalFormatting>
  <conditionalFormatting sqref="J18:AN18">
    <cfRule type="expression" dxfId="33" priority="7" stopIfTrue="1">
      <formula>J18&gt;0</formula>
    </cfRule>
  </conditionalFormatting>
  <conditionalFormatting sqref="J19:AN19">
    <cfRule type="expression" dxfId="32" priority="8" stopIfTrue="1">
      <formula>J19&gt;0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9"/>
  <sheetViews>
    <sheetView zoomScaleNormal="100" workbookViewId="0">
      <pane xSplit="9" ySplit="3" topLeftCell="J4" activePane="bottomRight" state="frozen"/>
      <selection pane="topRight" activeCell="J1" sqref="J1"/>
      <selection pane="bottomLeft" activeCell="A4" sqref="A4"/>
      <selection pane="bottomRight" sqref="A1:AV1"/>
    </sheetView>
  </sheetViews>
  <sheetFormatPr defaultColWidth="8.6640625" defaultRowHeight="14.4" x14ac:dyDescent="0.3"/>
  <cols>
    <col min="1" max="1" width="5" customWidth="1"/>
    <col min="2" max="3" width="14" customWidth="1"/>
    <col min="4" max="4" width="10" customWidth="1"/>
    <col min="5" max="5" width="12" customWidth="1"/>
    <col min="6" max="6" width="26" customWidth="1"/>
    <col min="7" max="7" width="9" customWidth="1"/>
    <col min="8" max="8" width="7" customWidth="1"/>
    <col min="9" max="9" width="8" customWidth="1"/>
    <col min="10" max="39" width="7" customWidth="1"/>
    <col min="40" max="48" width="14" customWidth="1"/>
  </cols>
  <sheetData>
    <row r="1" spans="1:48" ht="30" customHeight="1" x14ac:dyDescent="0.3">
      <c r="A1" s="71" t="s">
        <v>216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</row>
    <row r="2" spans="1:48" ht="21.75" customHeight="1" x14ac:dyDescent="0.3">
      <c r="A2" s="76" t="s">
        <v>63</v>
      </c>
      <c r="B2" s="60"/>
      <c r="C2" s="60"/>
      <c r="D2" s="60"/>
      <c r="E2" s="60"/>
      <c r="F2" s="60"/>
      <c r="G2" s="60"/>
      <c r="H2" s="60"/>
      <c r="I2" s="60"/>
      <c r="J2" s="75" t="s">
        <v>64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74" t="s">
        <v>65</v>
      </c>
      <c r="AO2" s="60"/>
      <c r="AP2" s="60"/>
      <c r="AQ2" s="60"/>
      <c r="AR2" s="60"/>
      <c r="AS2" s="60"/>
      <c r="AT2" s="60"/>
      <c r="AU2" s="60"/>
      <c r="AV2" s="60"/>
    </row>
    <row r="3" spans="1:48" ht="42" customHeight="1" x14ac:dyDescent="0.3">
      <c r="A3" s="30" t="s">
        <v>39</v>
      </c>
      <c r="B3" s="30" t="s">
        <v>66</v>
      </c>
      <c r="C3" s="30" t="s">
        <v>40</v>
      </c>
      <c r="D3" s="30" t="s">
        <v>41</v>
      </c>
      <c r="E3" s="30" t="s">
        <v>67</v>
      </c>
      <c r="F3" s="30" t="s">
        <v>68</v>
      </c>
      <c r="G3" s="30" t="s">
        <v>69</v>
      </c>
      <c r="H3" s="30" t="s">
        <v>70</v>
      </c>
      <c r="I3" s="30" t="s">
        <v>71</v>
      </c>
      <c r="J3" s="31" t="s">
        <v>217</v>
      </c>
      <c r="K3" s="31" t="s">
        <v>218</v>
      </c>
      <c r="L3" s="31" t="s">
        <v>219</v>
      </c>
      <c r="M3" s="31" t="s">
        <v>220</v>
      </c>
      <c r="N3" s="32" t="s">
        <v>221</v>
      </c>
      <c r="O3" s="32" t="s">
        <v>222</v>
      </c>
      <c r="P3" s="31" t="s">
        <v>223</v>
      </c>
      <c r="Q3" s="31" t="s">
        <v>224</v>
      </c>
      <c r="R3" s="31" t="s">
        <v>225</v>
      </c>
      <c r="S3" s="31" t="s">
        <v>226</v>
      </c>
      <c r="T3" s="31" t="s">
        <v>227</v>
      </c>
      <c r="U3" s="32" t="s">
        <v>228</v>
      </c>
      <c r="V3" s="32" t="s">
        <v>229</v>
      </c>
      <c r="W3" s="31" t="s">
        <v>230</v>
      </c>
      <c r="X3" s="31" t="s">
        <v>231</v>
      </c>
      <c r="Y3" s="31" t="s">
        <v>232</v>
      </c>
      <c r="Z3" s="31" t="s">
        <v>233</v>
      </c>
      <c r="AA3" s="31" t="s">
        <v>234</v>
      </c>
      <c r="AB3" s="32" t="s">
        <v>235</v>
      </c>
      <c r="AC3" s="32" t="s">
        <v>236</v>
      </c>
      <c r="AD3" s="31" t="s">
        <v>237</v>
      </c>
      <c r="AE3" s="31" t="s">
        <v>238</v>
      </c>
      <c r="AF3" s="31" t="s">
        <v>239</v>
      </c>
      <c r="AG3" s="31" t="s">
        <v>240</v>
      </c>
      <c r="AH3" s="31" t="s">
        <v>241</v>
      </c>
      <c r="AI3" s="32" t="s">
        <v>242</v>
      </c>
      <c r="AJ3" s="32" t="s">
        <v>243</v>
      </c>
      <c r="AK3" s="31" t="s">
        <v>244</v>
      </c>
      <c r="AL3" s="31" t="s">
        <v>245</v>
      </c>
      <c r="AM3" s="31" t="s">
        <v>246</v>
      </c>
      <c r="AN3" s="13" t="s">
        <v>102</v>
      </c>
      <c r="AO3" s="13" t="s">
        <v>103</v>
      </c>
      <c r="AP3" s="13" t="s">
        <v>104</v>
      </c>
      <c r="AQ3" s="13" t="s">
        <v>105</v>
      </c>
      <c r="AR3" s="13" t="s">
        <v>106</v>
      </c>
      <c r="AS3" s="13" t="s">
        <v>107</v>
      </c>
      <c r="AT3" s="13" t="s">
        <v>108</v>
      </c>
      <c r="AU3" s="13" t="s">
        <v>109</v>
      </c>
      <c r="AV3" s="13" t="s">
        <v>55</v>
      </c>
    </row>
    <row r="4" spans="1:48" ht="19.5" customHeight="1" x14ac:dyDescent="0.3">
      <c r="A4" s="77" t="s">
        <v>110</v>
      </c>
      <c r="B4" s="72" t="s">
        <v>25</v>
      </c>
      <c r="C4" s="72" t="s">
        <v>58</v>
      </c>
      <c r="D4" s="77" t="s">
        <v>2</v>
      </c>
      <c r="E4" s="73" t="s">
        <v>27</v>
      </c>
      <c r="F4" s="73" t="s">
        <v>29</v>
      </c>
      <c r="G4" s="38" t="s">
        <v>59</v>
      </c>
      <c r="H4" s="73">
        <v>70</v>
      </c>
      <c r="I4" s="73">
        <v>70</v>
      </c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40">
        <f t="shared" ref="AN4:AN15" si="0">SUM(J4:AM4)</f>
        <v>0</v>
      </c>
      <c r="AO4" s="41">
        <f>'⚙ Настройки'!B9</f>
        <v>14</v>
      </c>
      <c r="AP4" s="42">
        <f>IFERROR(AN5/AN4*100,0)</f>
        <v>0</v>
      </c>
      <c r="AQ4" s="42">
        <f>IFERROR(AN4*AO4/100,0)</f>
        <v>0</v>
      </c>
      <c r="AR4" s="42">
        <f>AN5</f>
        <v>0</v>
      </c>
      <c r="AS4" s="42">
        <f>AQ4-AR4</f>
        <v>0</v>
      </c>
      <c r="AT4" s="43">
        <f>IFERROR((AR4-AQ4)/AQ4*100,0)</f>
        <v>0</v>
      </c>
      <c r="AU4" s="41">
        <f>AR4*'⚙ Настройки'!B10</f>
        <v>0</v>
      </c>
      <c r="AV4" s="44" t="str">
        <f>IF(AN4=0,"—",IF(AT4&lt;='⚙ Настройки'!B11,"✅ ОК","⚠️ ПЕРЕРАСХОД"))</f>
        <v>—</v>
      </c>
    </row>
    <row r="5" spans="1:48" ht="18" customHeight="1" x14ac:dyDescent="0.3">
      <c r="A5" s="68"/>
      <c r="B5" s="68"/>
      <c r="C5" s="68"/>
      <c r="D5" s="68"/>
      <c r="E5" s="68"/>
      <c r="F5" s="68"/>
      <c r="G5" s="45" t="s">
        <v>111</v>
      </c>
      <c r="H5" s="68"/>
      <c r="I5" s="68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7">
        <f t="shared" si="0"/>
        <v>0</v>
      </c>
      <c r="AO5" s="18"/>
      <c r="AP5" s="15"/>
      <c r="AQ5" s="18"/>
      <c r="AR5" s="15"/>
      <c r="AS5" s="15"/>
      <c r="AT5" s="15"/>
      <c r="AU5" s="15"/>
      <c r="AV5" s="15"/>
    </row>
    <row r="6" spans="1:48" ht="16.95" customHeight="1" x14ac:dyDescent="0.3">
      <c r="A6" s="88" t="s">
        <v>15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9">
        <f t="shared" si="0"/>
        <v>0</v>
      </c>
    </row>
    <row r="7" spans="1:48" ht="16.95" customHeight="1" x14ac:dyDescent="0.3">
      <c r="A7" s="6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1">
        <f t="shared" si="0"/>
        <v>0</v>
      </c>
    </row>
    <row r="8" spans="1:48" ht="19.5" customHeight="1" x14ac:dyDescent="0.3">
      <c r="A8" s="77" t="s">
        <v>112</v>
      </c>
      <c r="B8" s="72" t="s">
        <v>25</v>
      </c>
      <c r="C8" s="72" t="s">
        <v>58</v>
      </c>
      <c r="D8" s="77" t="s">
        <v>3</v>
      </c>
      <c r="E8" s="73" t="s">
        <v>27</v>
      </c>
      <c r="F8" s="73" t="s">
        <v>30</v>
      </c>
      <c r="G8" s="38" t="s">
        <v>59</v>
      </c>
      <c r="H8" s="73">
        <v>70</v>
      </c>
      <c r="I8" s="73">
        <v>70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40">
        <f t="shared" si="0"/>
        <v>0</v>
      </c>
      <c r="AO8" s="41">
        <f>'⚙ Настройки'!C9</f>
        <v>14</v>
      </c>
      <c r="AP8" s="42">
        <f>IFERROR(AN9/AN8*100,0)</f>
        <v>0</v>
      </c>
      <c r="AQ8" s="42">
        <f>IFERROR(AN8*AO8/100,0)</f>
        <v>0</v>
      </c>
      <c r="AR8" s="42">
        <f>AN9</f>
        <v>0</v>
      </c>
      <c r="AS8" s="42">
        <f>AQ8-AR8</f>
        <v>0</v>
      </c>
      <c r="AT8" s="43">
        <f>IFERROR((AR8-AQ8)/AQ8*100,0)</f>
        <v>0</v>
      </c>
      <c r="AU8" s="41">
        <f>AR8*'⚙ Настройки'!C10</f>
        <v>0</v>
      </c>
      <c r="AV8" s="44" t="str">
        <f>IF(AN8=0,"—",IF(AT8&lt;='⚙ Настройки'!C11,"✅ ОК","⚠️ ПЕРЕРАСХОД"))</f>
        <v>—</v>
      </c>
    </row>
    <row r="9" spans="1:48" ht="18" customHeight="1" x14ac:dyDescent="0.3">
      <c r="A9" s="68"/>
      <c r="B9" s="68"/>
      <c r="C9" s="68"/>
      <c r="D9" s="68"/>
      <c r="E9" s="68"/>
      <c r="F9" s="68"/>
      <c r="G9" s="45" t="s">
        <v>111</v>
      </c>
      <c r="H9" s="68"/>
      <c r="I9" s="68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7">
        <f t="shared" si="0"/>
        <v>0</v>
      </c>
      <c r="AO9" s="18"/>
      <c r="AP9" s="15"/>
      <c r="AQ9" s="18"/>
      <c r="AR9" s="15"/>
      <c r="AS9" s="15"/>
      <c r="AT9" s="15"/>
      <c r="AU9" s="15"/>
      <c r="AV9" s="15"/>
    </row>
    <row r="10" spans="1:48" ht="16.95" customHeight="1" x14ac:dyDescent="0.3">
      <c r="A10" s="88" t="s">
        <v>15</v>
      </c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9">
        <f t="shared" si="0"/>
        <v>0</v>
      </c>
    </row>
    <row r="11" spans="1:48" ht="16.95" customHeight="1" x14ac:dyDescent="0.3">
      <c r="A11" s="6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1">
        <f t="shared" si="0"/>
        <v>0</v>
      </c>
    </row>
    <row r="12" spans="1:48" ht="19.5" customHeight="1" x14ac:dyDescent="0.3">
      <c r="A12" s="77" t="s">
        <v>113</v>
      </c>
      <c r="B12" s="72" t="s">
        <v>25</v>
      </c>
      <c r="C12" s="72" t="s">
        <v>58</v>
      </c>
      <c r="D12" s="77" t="s">
        <v>4</v>
      </c>
      <c r="E12" s="73" t="s">
        <v>27</v>
      </c>
      <c r="F12" s="73" t="s">
        <v>31</v>
      </c>
      <c r="G12" s="38" t="s">
        <v>59</v>
      </c>
      <c r="H12" s="73">
        <v>70</v>
      </c>
      <c r="I12" s="73">
        <v>70</v>
      </c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40">
        <f t="shared" si="0"/>
        <v>0</v>
      </c>
      <c r="AO12" s="41">
        <f>'⚙ Настройки'!D9</f>
        <v>14</v>
      </c>
      <c r="AP12" s="42">
        <f>IFERROR(AN13/AN12*100,0)</f>
        <v>0</v>
      </c>
      <c r="AQ12" s="42">
        <f>IFERROR(AN12*AO12/100,0)</f>
        <v>0</v>
      </c>
      <c r="AR12" s="42">
        <f>AN13</f>
        <v>0</v>
      </c>
      <c r="AS12" s="42">
        <f>AQ12-AR12</f>
        <v>0</v>
      </c>
      <c r="AT12" s="43">
        <f>IFERROR((AR12-AQ12)/AQ12*100,0)</f>
        <v>0</v>
      </c>
      <c r="AU12" s="41">
        <f>AR12*'⚙ Настройки'!D10</f>
        <v>0</v>
      </c>
      <c r="AV12" s="44" t="str">
        <f>IF(AN12=0,"—",IF(AT12&lt;='⚙ Настройки'!D11,"✅ ОК","⚠️ ПЕРЕРАСХОД"))</f>
        <v>—</v>
      </c>
    </row>
    <row r="13" spans="1:48" ht="18" customHeight="1" x14ac:dyDescent="0.3">
      <c r="A13" s="68"/>
      <c r="B13" s="68"/>
      <c r="C13" s="68"/>
      <c r="D13" s="68"/>
      <c r="E13" s="68"/>
      <c r="F13" s="68"/>
      <c r="G13" s="45" t="s">
        <v>111</v>
      </c>
      <c r="H13" s="68"/>
      <c r="I13" s="6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7">
        <f t="shared" si="0"/>
        <v>0</v>
      </c>
      <c r="AO13" s="18"/>
      <c r="AP13" s="15"/>
      <c r="AQ13" s="18"/>
      <c r="AR13" s="15"/>
      <c r="AS13" s="15"/>
      <c r="AT13" s="15"/>
      <c r="AU13" s="15"/>
      <c r="AV13" s="15"/>
    </row>
    <row r="14" spans="1:48" ht="16.95" customHeight="1" x14ac:dyDescent="0.3">
      <c r="A14" s="88" t="s">
        <v>15</v>
      </c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9">
        <f t="shared" si="0"/>
        <v>0</v>
      </c>
    </row>
    <row r="15" spans="1:48" ht="16.95" customHeight="1" x14ac:dyDescent="0.3">
      <c r="A15" s="6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1">
        <f t="shared" si="0"/>
        <v>0</v>
      </c>
    </row>
    <row r="16" spans="1:48" ht="21" customHeight="1" x14ac:dyDescent="0.3">
      <c r="A16" s="83" t="s">
        <v>114</v>
      </c>
      <c r="B16" s="62"/>
      <c r="C16" s="62"/>
      <c r="D16" s="62"/>
      <c r="E16" s="62"/>
      <c r="F16" s="62"/>
      <c r="G16" s="62"/>
      <c r="H16" s="62"/>
      <c r="I16" s="62"/>
      <c r="J16" s="52">
        <f t="shared" ref="J16:AN16" si="1">J4+J8+J12</f>
        <v>0</v>
      </c>
      <c r="K16" s="52">
        <f t="shared" si="1"/>
        <v>0</v>
      </c>
      <c r="L16" s="52">
        <f t="shared" si="1"/>
        <v>0</v>
      </c>
      <c r="M16" s="52">
        <f t="shared" si="1"/>
        <v>0</v>
      </c>
      <c r="N16" s="52">
        <f t="shared" si="1"/>
        <v>0</v>
      </c>
      <c r="O16" s="52">
        <f t="shared" si="1"/>
        <v>0</v>
      </c>
      <c r="P16" s="52">
        <f t="shared" si="1"/>
        <v>0</v>
      </c>
      <c r="Q16" s="52">
        <f t="shared" si="1"/>
        <v>0</v>
      </c>
      <c r="R16" s="52">
        <f t="shared" si="1"/>
        <v>0</v>
      </c>
      <c r="S16" s="52">
        <f t="shared" si="1"/>
        <v>0</v>
      </c>
      <c r="T16" s="52">
        <f t="shared" si="1"/>
        <v>0</v>
      </c>
      <c r="U16" s="52">
        <f t="shared" si="1"/>
        <v>0</v>
      </c>
      <c r="V16" s="52">
        <f t="shared" si="1"/>
        <v>0</v>
      </c>
      <c r="W16" s="52">
        <f t="shared" si="1"/>
        <v>0</v>
      </c>
      <c r="X16" s="52">
        <f t="shared" si="1"/>
        <v>0</v>
      </c>
      <c r="Y16" s="52">
        <f t="shared" si="1"/>
        <v>0</v>
      </c>
      <c r="Z16" s="52">
        <f t="shared" si="1"/>
        <v>0</v>
      </c>
      <c r="AA16" s="52">
        <f t="shared" si="1"/>
        <v>0</v>
      </c>
      <c r="AB16" s="52">
        <f t="shared" si="1"/>
        <v>0</v>
      </c>
      <c r="AC16" s="52">
        <f t="shared" si="1"/>
        <v>0</v>
      </c>
      <c r="AD16" s="52">
        <f t="shared" si="1"/>
        <v>0</v>
      </c>
      <c r="AE16" s="52">
        <f t="shared" si="1"/>
        <v>0</v>
      </c>
      <c r="AF16" s="52">
        <f t="shared" si="1"/>
        <v>0</v>
      </c>
      <c r="AG16" s="52">
        <f t="shared" si="1"/>
        <v>0</v>
      </c>
      <c r="AH16" s="52">
        <f t="shared" si="1"/>
        <v>0</v>
      </c>
      <c r="AI16" s="52">
        <f t="shared" si="1"/>
        <v>0</v>
      </c>
      <c r="AJ16" s="52">
        <f t="shared" si="1"/>
        <v>0</v>
      </c>
      <c r="AK16" s="52">
        <f t="shared" si="1"/>
        <v>0</v>
      </c>
      <c r="AL16" s="52">
        <f t="shared" si="1"/>
        <v>0</v>
      </c>
      <c r="AM16" s="52">
        <f t="shared" si="1"/>
        <v>0</v>
      </c>
      <c r="AN16" s="53">
        <f t="shared" si="1"/>
        <v>0</v>
      </c>
      <c r="AO16" s="86" t="s">
        <v>115</v>
      </c>
      <c r="AP16" s="87"/>
      <c r="AQ16" s="87"/>
      <c r="AR16" s="87"/>
      <c r="AS16" s="87"/>
      <c r="AT16" s="84">
        <f>AU4+AU8+AU12</f>
        <v>0</v>
      </c>
      <c r="AU16" s="85"/>
      <c r="AV16" s="85"/>
    </row>
    <row r="17" spans="1:40" ht="18" customHeight="1" x14ac:dyDescent="0.3">
      <c r="A17" s="83" t="s">
        <v>116</v>
      </c>
      <c r="B17" s="62"/>
      <c r="C17" s="62"/>
      <c r="D17" s="62"/>
      <c r="E17" s="62"/>
      <c r="F17" s="62"/>
      <c r="G17" s="62"/>
      <c r="H17" s="62"/>
      <c r="I17" s="62"/>
      <c r="J17" s="54">
        <f t="shared" ref="J17:AN17" si="2">J5+J9+J13</f>
        <v>0</v>
      </c>
      <c r="K17" s="54">
        <f t="shared" si="2"/>
        <v>0</v>
      </c>
      <c r="L17" s="54">
        <f t="shared" si="2"/>
        <v>0</v>
      </c>
      <c r="M17" s="54">
        <f t="shared" si="2"/>
        <v>0</v>
      </c>
      <c r="N17" s="54">
        <f t="shared" si="2"/>
        <v>0</v>
      </c>
      <c r="O17" s="54">
        <f t="shared" si="2"/>
        <v>0</v>
      </c>
      <c r="P17" s="54">
        <f t="shared" si="2"/>
        <v>0</v>
      </c>
      <c r="Q17" s="54">
        <f t="shared" si="2"/>
        <v>0</v>
      </c>
      <c r="R17" s="54">
        <f t="shared" si="2"/>
        <v>0</v>
      </c>
      <c r="S17" s="54">
        <f t="shared" si="2"/>
        <v>0</v>
      </c>
      <c r="T17" s="54">
        <f t="shared" si="2"/>
        <v>0</v>
      </c>
      <c r="U17" s="54">
        <f t="shared" si="2"/>
        <v>0</v>
      </c>
      <c r="V17" s="54">
        <f t="shared" si="2"/>
        <v>0</v>
      </c>
      <c r="W17" s="54">
        <f t="shared" si="2"/>
        <v>0</v>
      </c>
      <c r="X17" s="54">
        <f t="shared" si="2"/>
        <v>0</v>
      </c>
      <c r="Y17" s="54">
        <f t="shared" si="2"/>
        <v>0</v>
      </c>
      <c r="Z17" s="54">
        <f t="shared" si="2"/>
        <v>0</v>
      </c>
      <c r="AA17" s="54">
        <f t="shared" si="2"/>
        <v>0</v>
      </c>
      <c r="AB17" s="54">
        <f t="shared" si="2"/>
        <v>0</v>
      </c>
      <c r="AC17" s="54">
        <f t="shared" si="2"/>
        <v>0</v>
      </c>
      <c r="AD17" s="54">
        <f t="shared" si="2"/>
        <v>0</v>
      </c>
      <c r="AE17" s="54">
        <f t="shared" si="2"/>
        <v>0</v>
      </c>
      <c r="AF17" s="54">
        <f t="shared" si="2"/>
        <v>0</v>
      </c>
      <c r="AG17" s="54">
        <f t="shared" si="2"/>
        <v>0</v>
      </c>
      <c r="AH17" s="54">
        <f t="shared" si="2"/>
        <v>0</v>
      </c>
      <c r="AI17" s="54">
        <f t="shared" si="2"/>
        <v>0</v>
      </c>
      <c r="AJ17" s="54">
        <f t="shared" si="2"/>
        <v>0</v>
      </c>
      <c r="AK17" s="54">
        <f t="shared" si="2"/>
        <v>0</v>
      </c>
      <c r="AL17" s="54">
        <f t="shared" si="2"/>
        <v>0</v>
      </c>
      <c r="AM17" s="54">
        <f t="shared" si="2"/>
        <v>0</v>
      </c>
      <c r="AN17" s="53">
        <f t="shared" si="2"/>
        <v>0</v>
      </c>
    </row>
    <row r="18" spans="1:40" ht="18" customHeight="1" x14ac:dyDescent="0.3">
      <c r="A18" s="81" t="s">
        <v>117</v>
      </c>
      <c r="B18" s="60"/>
      <c r="C18" s="60"/>
      <c r="D18" s="60"/>
      <c r="E18" s="60"/>
      <c r="F18" s="60"/>
      <c r="G18" s="60"/>
      <c r="H18" s="60"/>
      <c r="I18" s="60"/>
      <c r="J18" s="55">
        <f t="shared" ref="J18:AN18" si="3">J6+J10+J14</f>
        <v>0</v>
      </c>
      <c r="K18" s="55">
        <f t="shared" si="3"/>
        <v>0</v>
      </c>
      <c r="L18" s="55">
        <f t="shared" si="3"/>
        <v>0</v>
      </c>
      <c r="M18" s="55">
        <f t="shared" si="3"/>
        <v>0</v>
      </c>
      <c r="N18" s="55">
        <f t="shared" si="3"/>
        <v>0</v>
      </c>
      <c r="O18" s="55">
        <f t="shared" si="3"/>
        <v>0</v>
      </c>
      <c r="P18" s="55">
        <f t="shared" si="3"/>
        <v>0</v>
      </c>
      <c r="Q18" s="55">
        <f t="shared" si="3"/>
        <v>0</v>
      </c>
      <c r="R18" s="55">
        <f t="shared" si="3"/>
        <v>0</v>
      </c>
      <c r="S18" s="55">
        <f t="shared" si="3"/>
        <v>0</v>
      </c>
      <c r="T18" s="55">
        <f t="shared" si="3"/>
        <v>0</v>
      </c>
      <c r="U18" s="55">
        <f t="shared" si="3"/>
        <v>0</v>
      </c>
      <c r="V18" s="55">
        <f t="shared" si="3"/>
        <v>0</v>
      </c>
      <c r="W18" s="55">
        <f t="shared" si="3"/>
        <v>0</v>
      </c>
      <c r="X18" s="55">
        <f t="shared" si="3"/>
        <v>0</v>
      </c>
      <c r="Y18" s="55">
        <f t="shared" si="3"/>
        <v>0</v>
      </c>
      <c r="Z18" s="55">
        <f t="shared" si="3"/>
        <v>0</v>
      </c>
      <c r="AA18" s="55">
        <f t="shared" si="3"/>
        <v>0</v>
      </c>
      <c r="AB18" s="55">
        <f t="shared" si="3"/>
        <v>0</v>
      </c>
      <c r="AC18" s="55">
        <f t="shared" si="3"/>
        <v>0</v>
      </c>
      <c r="AD18" s="55">
        <f t="shared" si="3"/>
        <v>0</v>
      </c>
      <c r="AE18" s="55">
        <f t="shared" si="3"/>
        <v>0</v>
      </c>
      <c r="AF18" s="55">
        <f t="shared" si="3"/>
        <v>0</v>
      </c>
      <c r="AG18" s="55">
        <f t="shared" si="3"/>
        <v>0</v>
      </c>
      <c r="AH18" s="55">
        <f t="shared" si="3"/>
        <v>0</v>
      </c>
      <c r="AI18" s="55">
        <f t="shared" si="3"/>
        <v>0</v>
      </c>
      <c r="AJ18" s="55">
        <f t="shared" si="3"/>
        <v>0</v>
      </c>
      <c r="AK18" s="55">
        <f t="shared" si="3"/>
        <v>0</v>
      </c>
      <c r="AL18" s="55">
        <f t="shared" si="3"/>
        <v>0</v>
      </c>
      <c r="AM18" s="55">
        <f t="shared" si="3"/>
        <v>0</v>
      </c>
      <c r="AN18" s="56">
        <f t="shared" si="3"/>
        <v>0</v>
      </c>
    </row>
    <row r="19" spans="1:40" ht="18" customHeight="1" x14ac:dyDescent="0.3">
      <c r="A19" s="78" t="s">
        <v>118</v>
      </c>
      <c r="B19" s="60"/>
      <c r="C19" s="60"/>
      <c r="D19" s="60"/>
      <c r="E19" s="60"/>
      <c r="F19" s="60"/>
      <c r="G19" s="60"/>
      <c r="H19" s="60"/>
      <c r="I19" s="60"/>
      <c r="J19" s="57">
        <f t="shared" ref="J19:AN19" si="4">J7+J11+J15</f>
        <v>0</v>
      </c>
      <c r="K19" s="57">
        <f t="shared" si="4"/>
        <v>0</v>
      </c>
      <c r="L19" s="57">
        <f t="shared" si="4"/>
        <v>0</v>
      </c>
      <c r="M19" s="57">
        <f t="shared" si="4"/>
        <v>0</v>
      </c>
      <c r="N19" s="57">
        <f t="shared" si="4"/>
        <v>0</v>
      </c>
      <c r="O19" s="57">
        <f t="shared" si="4"/>
        <v>0</v>
      </c>
      <c r="P19" s="57">
        <f t="shared" si="4"/>
        <v>0</v>
      </c>
      <c r="Q19" s="57">
        <f t="shared" si="4"/>
        <v>0</v>
      </c>
      <c r="R19" s="57">
        <f t="shared" si="4"/>
        <v>0</v>
      </c>
      <c r="S19" s="57">
        <f t="shared" si="4"/>
        <v>0</v>
      </c>
      <c r="T19" s="57">
        <f t="shared" si="4"/>
        <v>0</v>
      </c>
      <c r="U19" s="57">
        <f t="shared" si="4"/>
        <v>0</v>
      </c>
      <c r="V19" s="57">
        <f t="shared" si="4"/>
        <v>0</v>
      </c>
      <c r="W19" s="57">
        <f t="shared" si="4"/>
        <v>0</v>
      </c>
      <c r="X19" s="57">
        <f t="shared" si="4"/>
        <v>0</v>
      </c>
      <c r="Y19" s="57">
        <f t="shared" si="4"/>
        <v>0</v>
      </c>
      <c r="Z19" s="57">
        <f t="shared" si="4"/>
        <v>0</v>
      </c>
      <c r="AA19" s="57">
        <f t="shared" si="4"/>
        <v>0</v>
      </c>
      <c r="AB19" s="57">
        <f t="shared" si="4"/>
        <v>0</v>
      </c>
      <c r="AC19" s="57">
        <f t="shared" si="4"/>
        <v>0</v>
      </c>
      <c r="AD19" s="57">
        <f t="shared" si="4"/>
        <v>0</v>
      </c>
      <c r="AE19" s="57">
        <f t="shared" si="4"/>
        <v>0</v>
      </c>
      <c r="AF19" s="57">
        <f t="shared" si="4"/>
        <v>0</v>
      </c>
      <c r="AG19" s="57">
        <f t="shared" si="4"/>
        <v>0</v>
      </c>
      <c r="AH19" s="57">
        <f t="shared" si="4"/>
        <v>0</v>
      </c>
      <c r="AI19" s="57">
        <f t="shared" si="4"/>
        <v>0</v>
      </c>
      <c r="AJ19" s="57">
        <f t="shared" si="4"/>
        <v>0</v>
      </c>
      <c r="AK19" s="57">
        <f t="shared" si="4"/>
        <v>0</v>
      </c>
      <c r="AL19" s="57">
        <f t="shared" si="4"/>
        <v>0</v>
      </c>
      <c r="AM19" s="57">
        <f t="shared" si="4"/>
        <v>0</v>
      </c>
      <c r="AN19" s="58">
        <f t="shared" si="4"/>
        <v>0</v>
      </c>
    </row>
  </sheetData>
  <mergeCells count="37">
    <mergeCell ref="AT16:AV16"/>
    <mergeCell ref="B4:B5"/>
    <mergeCell ref="H8:H9"/>
    <mergeCell ref="F4:F5"/>
    <mergeCell ref="E12:E13"/>
    <mergeCell ref="H4:H5"/>
    <mergeCell ref="A16:I16"/>
    <mergeCell ref="AO16:AS16"/>
    <mergeCell ref="A19:I19"/>
    <mergeCell ref="I8:I9"/>
    <mergeCell ref="C8:C9"/>
    <mergeCell ref="A4:A5"/>
    <mergeCell ref="H12:H13"/>
    <mergeCell ref="I4:I5"/>
    <mergeCell ref="D8:D9"/>
    <mergeCell ref="A10:A11"/>
    <mergeCell ref="B8:B9"/>
    <mergeCell ref="A18:I18"/>
    <mergeCell ref="A6:A7"/>
    <mergeCell ref="A17:I17"/>
    <mergeCell ref="D12:D13"/>
    <mergeCell ref="A14:A15"/>
    <mergeCell ref="A8:A9"/>
    <mergeCell ref="A1:AV1"/>
    <mergeCell ref="C4:C5"/>
    <mergeCell ref="B12:B13"/>
    <mergeCell ref="E4:E5"/>
    <mergeCell ref="F12:F13"/>
    <mergeCell ref="AN2:AV2"/>
    <mergeCell ref="I12:I13"/>
    <mergeCell ref="J2:AM2"/>
    <mergeCell ref="E8:E9"/>
    <mergeCell ref="A2:I2"/>
    <mergeCell ref="F8:F9"/>
    <mergeCell ref="A12:A13"/>
    <mergeCell ref="D4:D5"/>
    <mergeCell ref="C12:C13"/>
  </mergeCells>
  <conditionalFormatting sqref="J6:AM6">
    <cfRule type="expression" dxfId="31" priority="1" stopIfTrue="1">
      <formula>J6&gt;0</formula>
    </cfRule>
  </conditionalFormatting>
  <conditionalFormatting sqref="J7:AM7">
    <cfRule type="expression" dxfId="30" priority="2" stopIfTrue="1">
      <formula>J7&gt;0</formula>
    </cfRule>
  </conditionalFormatting>
  <conditionalFormatting sqref="J10:AM10">
    <cfRule type="expression" dxfId="29" priority="3" stopIfTrue="1">
      <formula>J10&gt;0</formula>
    </cfRule>
  </conditionalFormatting>
  <conditionalFormatting sqref="J11:AM11">
    <cfRule type="expression" dxfId="28" priority="4" stopIfTrue="1">
      <formula>J11&gt;0</formula>
    </cfRule>
  </conditionalFormatting>
  <conditionalFormatting sqref="J14:AM14">
    <cfRule type="expression" dxfId="27" priority="5" stopIfTrue="1">
      <formula>J14&gt;0</formula>
    </cfRule>
  </conditionalFormatting>
  <conditionalFormatting sqref="J15:AM15">
    <cfRule type="expression" dxfId="26" priority="6" stopIfTrue="1">
      <formula>J15&gt;0</formula>
    </cfRule>
  </conditionalFormatting>
  <conditionalFormatting sqref="J18:AM18">
    <cfRule type="expression" dxfId="25" priority="7" stopIfTrue="1">
      <formula>J18&gt;0</formula>
    </cfRule>
  </conditionalFormatting>
  <conditionalFormatting sqref="J19:AM19">
    <cfRule type="expression" dxfId="24" priority="8" stopIfTrue="1">
      <formula>J19&gt;0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9"/>
  <sheetViews>
    <sheetView zoomScaleNormal="100" workbookViewId="0">
      <pane xSplit="9" ySplit="3" topLeftCell="J4" activePane="bottomRight" state="frozen"/>
      <selection pane="topRight" activeCell="J1" sqref="J1"/>
      <selection pane="bottomLeft" activeCell="A4" sqref="A4"/>
      <selection pane="bottomRight"/>
    </sheetView>
  </sheetViews>
  <sheetFormatPr defaultColWidth="8.6640625" defaultRowHeight="14.4" x14ac:dyDescent="0.3"/>
  <cols>
    <col min="1" max="1" width="5" customWidth="1"/>
    <col min="2" max="3" width="14" customWidth="1"/>
    <col min="4" max="4" width="10" customWidth="1"/>
    <col min="5" max="5" width="12" customWidth="1"/>
    <col min="6" max="6" width="26" customWidth="1"/>
    <col min="7" max="7" width="9" customWidth="1"/>
    <col min="8" max="8" width="7" customWidth="1"/>
    <col min="9" max="9" width="8" customWidth="1"/>
    <col min="10" max="40" width="7" customWidth="1"/>
    <col min="41" max="49" width="14" customWidth="1"/>
  </cols>
  <sheetData>
    <row r="1" spans="1:49" ht="30" customHeight="1" x14ac:dyDescent="0.3">
      <c r="A1" s="71" t="s">
        <v>247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</row>
    <row r="2" spans="1:49" ht="21.75" customHeight="1" x14ac:dyDescent="0.3">
      <c r="A2" s="76" t="s">
        <v>63</v>
      </c>
      <c r="B2" s="60"/>
      <c r="C2" s="60"/>
      <c r="D2" s="60"/>
      <c r="E2" s="60"/>
      <c r="F2" s="60"/>
      <c r="G2" s="60"/>
      <c r="H2" s="60"/>
      <c r="I2" s="60"/>
      <c r="J2" s="75" t="s">
        <v>64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74" t="s">
        <v>65</v>
      </c>
      <c r="AP2" s="60"/>
      <c r="AQ2" s="60"/>
      <c r="AR2" s="60"/>
      <c r="AS2" s="60"/>
      <c r="AT2" s="60"/>
      <c r="AU2" s="60"/>
      <c r="AV2" s="60"/>
    </row>
    <row r="3" spans="1:49" ht="42" customHeight="1" x14ac:dyDescent="0.3">
      <c r="A3" s="30" t="s">
        <v>39</v>
      </c>
      <c r="B3" s="30" t="s">
        <v>66</v>
      </c>
      <c r="C3" s="30" t="s">
        <v>40</v>
      </c>
      <c r="D3" s="30" t="s">
        <v>41</v>
      </c>
      <c r="E3" s="30" t="s">
        <v>67</v>
      </c>
      <c r="F3" s="30" t="s">
        <v>68</v>
      </c>
      <c r="G3" s="30" t="s">
        <v>69</v>
      </c>
      <c r="H3" s="30" t="s">
        <v>70</v>
      </c>
      <c r="I3" s="30" t="s">
        <v>71</v>
      </c>
      <c r="J3" s="31" t="s">
        <v>248</v>
      </c>
      <c r="K3" s="31" t="s">
        <v>249</v>
      </c>
      <c r="L3" s="32" t="s">
        <v>250</v>
      </c>
      <c r="M3" s="32" t="s">
        <v>251</v>
      </c>
      <c r="N3" s="31" t="s">
        <v>252</v>
      </c>
      <c r="O3" s="31" t="s">
        <v>253</v>
      </c>
      <c r="P3" s="31" t="s">
        <v>254</v>
      </c>
      <c r="Q3" s="31" t="s">
        <v>255</v>
      </c>
      <c r="R3" s="31" t="s">
        <v>256</v>
      </c>
      <c r="S3" s="32" t="s">
        <v>257</v>
      </c>
      <c r="T3" s="32" t="s">
        <v>258</v>
      </c>
      <c r="U3" s="31" t="s">
        <v>259</v>
      </c>
      <c r="V3" s="31" t="s">
        <v>260</v>
      </c>
      <c r="W3" s="31" t="s">
        <v>261</v>
      </c>
      <c r="X3" s="31" t="s">
        <v>262</v>
      </c>
      <c r="Y3" s="31" t="s">
        <v>263</v>
      </c>
      <c r="Z3" s="32" t="s">
        <v>264</v>
      </c>
      <c r="AA3" s="32" t="s">
        <v>265</v>
      </c>
      <c r="AB3" s="31" t="s">
        <v>266</v>
      </c>
      <c r="AC3" s="31" t="s">
        <v>267</v>
      </c>
      <c r="AD3" s="31" t="s">
        <v>268</v>
      </c>
      <c r="AE3" s="31" t="s">
        <v>269</v>
      </c>
      <c r="AF3" s="31" t="s">
        <v>270</v>
      </c>
      <c r="AG3" s="32" t="s">
        <v>271</v>
      </c>
      <c r="AH3" s="32" t="s">
        <v>272</v>
      </c>
      <c r="AI3" s="31" t="s">
        <v>273</v>
      </c>
      <c r="AJ3" s="31" t="s">
        <v>274</v>
      </c>
      <c r="AK3" s="31" t="s">
        <v>275</v>
      </c>
      <c r="AL3" s="31" t="s">
        <v>276</v>
      </c>
      <c r="AM3" s="31" t="s">
        <v>277</v>
      </c>
      <c r="AN3" s="32" t="s">
        <v>278</v>
      </c>
      <c r="AO3" s="13" t="s">
        <v>102</v>
      </c>
      <c r="AP3" s="13" t="s">
        <v>103</v>
      </c>
      <c r="AQ3" s="13" t="s">
        <v>104</v>
      </c>
      <c r="AR3" s="13" t="s">
        <v>105</v>
      </c>
      <c r="AS3" s="13" t="s">
        <v>106</v>
      </c>
      <c r="AT3" s="13" t="s">
        <v>107</v>
      </c>
      <c r="AU3" s="13" t="s">
        <v>108</v>
      </c>
      <c r="AV3" s="13" t="s">
        <v>109</v>
      </c>
      <c r="AW3" s="13" t="s">
        <v>55</v>
      </c>
    </row>
    <row r="4" spans="1:49" ht="19.5" customHeight="1" x14ac:dyDescent="0.3">
      <c r="A4" s="77" t="s">
        <v>110</v>
      </c>
      <c r="B4" s="72" t="s">
        <v>25</v>
      </c>
      <c r="C4" s="72" t="s">
        <v>58</v>
      </c>
      <c r="D4" s="77" t="s">
        <v>2</v>
      </c>
      <c r="E4" s="73" t="s">
        <v>27</v>
      </c>
      <c r="F4" s="73" t="s">
        <v>29</v>
      </c>
      <c r="G4" s="38" t="s">
        <v>59</v>
      </c>
      <c r="H4" s="73">
        <v>70</v>
      </c>
      <c r="I4" s="73">
        <v>70</v>
      </c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>
        <f t="shared" ref="AO4:AO15" si="0">SUM(J4:AN4)</f>
        <v>0</v>
      </c>
      <c r="AP4" s="41">
        <f>'⚙ Настройки'!B9</f>
        <v>14</v>
      </c>
      <c r="AQ4" s="42">
        <f>IFERROR(AO5/AO4*100,0)</f>
        <v>0</v>
      </c>
      <c r="AR4" s="42">
        <f>IFERROR(AO4*AP4/100,0)</f>
        <v>0</v>
      </c>
      <c r="AS4" s="42">
        <f>AO5</f>
        <v>0</v>
      </c>
      <c r="AT4" s="42">
        <f>AR4-AS4</f>
        <v>0</v>
      </c>
      <c r="AU4" s="43">
        <f>IFERROR((AS4-AR4)/AR4*100,0)</f>
        <v>0</v>
      </c>
      <c r="AV4" s="41">
        <f>AS4*'⚙ Настройки'!B10</f>
        <v>0</v>
      </c>
      <c r="AW4" s="44" t="str">
        <f>IF(AO4=0,"—",IF(AU4&lt;='⚙ Настройки'!B11,"✅ ОК","⚠️ ПЕРЕРАСХОД"))</f>
        <v>—</v>
      </c>
    </row>
    <row r="5" spans="1:49" ht="18" customHeight="1" x14ac:dyDescent="0.3">
      <c r="A5" s="68"/>
      <c r="B5" s="68"/>
      <c r="C5" s="68"/>
      <c r="D5" s="68"/>
      <c r="E5" s="68"/>
      <c r="F5" s="68"/>
      <c r="G5" s="45" t="s">
        <v>111</v>
      </c>
      <c r="H5" s="68"/>
      <c r="I5" s="68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7">
        <f t="shared" si="0"/>
        <v>0</v>
      </c>
      <c r="AP5" s="18"/>
      <c r="AQ5" s="15"/>
      <c r="AR5" s="18"/>
      <c r="AS5" s="15"/>
      <c r="AT5" s="15"/>
      <c r="AU5" s="15"/>
      <c r="AV5" s="15"/>
      <c r="AW5" s="15"/>
    </row>
    <row r="6" spans="1:49" ht="16.95" customHeight="1" x14ac:dyDescent="0.3">
      <c r="A6" s="88" t="s">
        <v>15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9">
        <f t="shared" si="0"/>
        <v>0</v>
      </c>
    </row>
    <row r="7" spans="1:49" ht="16.95" customHeight="1" x14ac:dyDescent="0.3">
      <c r="A7" s="6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1">
        <f t="shared" si="0"/>
        <v>0</v>
      </c>
    </row>
    <row r="8" spans="1:49" ht="19.5" customHeight="1" x14ac:dyDescent="0.3">
      <c r="A8" s="77" t="s">
        <v>112</v>
      </c>
      <c r="B8" s="72" t="s">
        <v>25</v>
      </c>
      <c r="C8" s="72" t="s">
        <v>58</v>
      </c>
      <c r="D8" s="77" t="s">
        <v>3</v>
      </c>
      <c r="E8" s="73" t="s">
        <v>27</v>
      </c>
      <c r="F8" s="73" t="s">
        <v>30</v>
      </c>
      <c r="G8" s="38" t="s">
        <v>59</v>
      </c>
      <c r="H8" s="73">
        <v>70</v>
      </c>
      <c r="I8" s="73">
        <v>70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40">
        <f t="shared" si="0"/>
        <v>0</v>
      </c>
      <c r="AP8" s="41">
        <f>'⚙ Настройки'!C9</f>
        <v>14</v>
      </c>
      <c r="AQ8" s="42">
        <f>IFERROR(AO9/AO8*100,0)</f>
        <v>0</v>
      </c>
      <c r="AR8" s="42">
        <f>IFERROR(AO8*AP8/100,0)</f>
        <v>0</v>
      </c>
      <c r="AS8" s="42">
        <f>AO9</f>
        <v>0</v>
      </c>
      <c r="AT8" s="42">
        <f>AR8-AS8</f>
        <v>0</v>
      </c>
      <c r="AU8" s="43">
        <f>IFERROR((AS8-AR8)/AR8*100,0)</f>
        <v>0</v>
      </c>
      <c r="AV8" s="41">
        <f>AS8*'⚙ Настройки'!C10</f>
        <v>0</v>
      </c>
      <c r="AW8" s="44" t="str">
        <f>IF(AO8=0,"—",IF(AU8&lt;='⚙ Настройки'!C11,"✅ ОК","⚠️ ПЕРЕРАСХОД"))</f>
        <v>—</v>
      </c>
    </row>
    <row r="9" spans="1:49" ht="18" customHeight="1" x14ac:dyDescent="0.3">
      <c r="A9" s="68"/>
      <c r="B9" s="68"/>
      <c r="C9" s="68"/>
      <c r="D9" s="68"/>
      <c r="E9" s="68"/>
      <c r="F9" s="68"/>
      <c r="G9" s="45" t="s">
        <v>111</v>
      </c>
      <c r="H9" s="68"/>
      <c r="I9" s="68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7">
        <f t="shared" si="0"/>
        <v>0</v>
      </c>
      <c r="AP9" s="18"/>
      <c r="AQ9" s="15"/>
      <c r="AR9" s="18"/>
      <c r="AS9" s="15"/>
      <c r="AT9" s="15"/>
      <c r="AU9" s="15"/>
      <c r="AV9" s="15"/>
      <c r="AW9" s="15"/>
    </row>
    <row r="10" spans="1:49" ht="16.95" customHeight="1" x14ac:dyDescent="0.3">
      <c r="A10" s="88" t="s">
        <v>15</v>
      </c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9">
        <f t="shared" si="0"/>
        <v>0</v>
      </c>
    </row>
    <row r="11" spans="1:49" ht="16.95" customHeight="1" x14ac:dyDescent="0.3">
      <c r="A11" s="6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1">
        <f t="shared" si="0"/>
        <v>0</v>
      </c>
    </row>
    <row r="12" spans="1:49" ht="19.5" customHeight="1" x14ac:dyDescent="0.3">
      <c r="A12" s="77" t="s">
        <v>113</v>
      </c>
      <c r="B12" s="72" t="s">
        <v>25</v>
      </c>
      <c r="C12" s="72" t="s">
        <v>58</v>
      </c>
      <c r="D12" s="77" t="s">
        <v>4</v>
      </c>
      <c r="E12" s="73" t="s">
        <v>27</v>
      </c>
      <c r="F12" s="73" t="s">
        <v>31</v>
      </c>
      <c r="G12" s="38" t="s">
        <v>59</v>
      </c>
      <c r="H12" s="73">
        <v>70</v>
      </c>
      <c r="I12" s="73">
        <v>70</v>
      </c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40">
        <f t="shared" si="0"/>
        <v>0</v>
      </c>
      <c r="AP12" s="41">
        <f>'⚙ Настройки'!D9</f>
        <v>14</v>
      </c>
      <c r="AQ12" s="42">
        <f>IFERROR(AO13/AO12*100,0)</f>
        <v>0</v>
      </c>
      <c r="AR12" s="42">
        <f>IFERROR(AO12*AP12/100,0)</f>
        <v>0</v>
      </c>
      <c r="AS12" s="42">
        <f>AO13</f>
        <v>0</v>
      </c>
      <c r="AT12" s="42">
        <f>AR12-AS12</f>
        <v>0</v>
      </c>
      <c r="AU12" s="43">
        <f>IFERROR((AS12-AR12)/AR12*100,0)</f>
        <v>0</v>
      </c>
      <c r="AV12" s="41">
        <f>AS12*'⚙ Настройки'!D10</f>
        <v>0</v>
      </c>
      <c r="AW12" s="44" t="str">
        <f>IF(AO12=0,"—",IF(AU12&lt;='⚙ Настройки'!D11,"✅ ОК","⚠️ ПЕРЕРАСХОД"))</f>
        <v>—</v>
      </c>
    </row>
    <row r="13" spans="1:49" ht="18" customHeight="1" x14ac:dyDescent="0.3">
      <c r="A13" s="68"/>
      <c r="B13" s="68"/>
      <c r="C13" s="68"/>
      <c r="D13" s="68"/>
      <c r="E13" s="68"/>
      <c r="F13" s="68"/>
      <c r="G13" s="45" t="s">
        <v>111</v>
      </c>
      <c r="H13" s="68"/>
      <c r="I13" s="6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7">
        <f t="shared" si="0"/>
        <v>0</v>
      </c>
      <c r="AP13" s="18"/>
      <c r="AQ13" s="15"/>
      <c r="AR13" s="18"/>
      <c r="AS13" s="15"/>
      <c r="AT13" s="15"/>
      <c r="AU13" s="15"/>
      <c r="AV13" s="15"/>
      <c r="AW13" s="15"/>
    </row>
    <row r="14" spans="1:49" ht="16.95" customHeight="1" x14ac:dyDescent="0.3">
      <c r="A14" s="88" t="s">
        <v>15</v>
      </c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9">
        <f t="shared" si="0"/>
        <v>0</v>
      </c>
    </row>
    <row r="15" spans="1:49" ht="16.95" customHeight="1" x14ac:dyDescent="0.3">
      <c r="A15" s="6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1">
        <f t="shared" si="0"/>
        <v>0</v>
      </c>
    </row>
    <row r="16" spans="1:49" ht="21" customHeight="1" x14ac:dyDescent="0.3">
      <c r="A16" s="83" t="s">
        <v>114</v>
      </c>
      <c r="B16" s="62"/>
      <c r="C16" s="62"/>
      <c r="D16" s="62"/>
      <c r="E16" s="62"/>
      <c r="F16" s="62"/>
      <c r="G16" s="62"/>
      <c r="H16" s="62"/>
      <c r="I16" s="62"/>
      <c r="J16" s="52">
        <f t="shared" ref="J16:AO16" si="1">J4+J8+J12</f>
        <v>0</v>
      </c>
      <c r="K16" s="52">
        <f t="shared" si="1"/>
        <v>0</v>
      </c>
      <c r="L16" s="52">
        <f t="shared" si="1"/>
        <v>0</v>
      </c>
      <c r="M16" s="52">
        <f t="shared" si="1"/>
        <v>0</v>
      </c>
      <c r="N16" s="52">
        <f t="shared" si="1"/>
        <v>0</v>
      </c>
      <c r="O16" s="52">
        <f t="shared" si="1"/>
        <v>0</v>
      </c>
      <c r="P16" s="52">
        <f t="shared" si="1"/>
        <v>0</v>
      </c>
      <c r="Q16" s="52">
        <f t="shared" si="1"/>
        <v>0</v>
      </c>
      <c r="R16" s="52">
        <f t="shared" si="1"/>
        <v>0</v>
      </c>
      <c r="S16" s="52">
        <f t="shared" si="1"/>
        <v>0</v>
      </c>
      <c r="T16" s="52">
        <f t="shared" si="1"/>
        <v>0</v>
      </c>
      <c r="U16" s="52">
        <f t="shared" si="1"/>
        <v>0</v>
      </c>
      <c r="V16" s="52">
        <f t="shared" si="1"/>
        <v>0</v>
      </c>
      <c r="W16" s="52">
        <f t="shared" si="1"/>
        <v>0</v>
      </c>
      <c r="X16" s="52">
        <f t="shared" si="1"/>
        <v>0</v>
      </c>
      <c r="Y16" s="52">
        <f t="shared" si="1"/>
        <v>0</v>
      </c>
      <c r="Z16" s="52">
        <f t="shared" si="1"/>
        <v>0</v>
      </c>
      <c r="AA16" s="52">
        <f t="shared" si="1"/>
        <v>0</v>
      </c>
      <c r="AB16" s="52">
        <f t="shared" si="1"/>
        <v>0</v>
      </c>
      <c r="AC16" s="52">
        <f t="shared" si="1"/>
        <v>0</v>
      </c>
      <c r="AD16" s="52">
        <f t="shared" si="1"/>
        <v>0</v>
      </c>
      <c r="AE16" s="52">
        <f t="shared" si="1"/>
        <v>0</v>
      </c>
      <c r="AF16" s="52">
        <f t="shared" si="1"/>
        <v>0</v>
      </c>
      <c r="AG16" s="52">
        <f t="shared" si="1"/>
        <v>0</v>
      </c>
      <c r="AH16" s="52">
        <f t="shared" si="1"/>
        <v>0</v>
      </c>
      <c r="AI16" s="52">
        <f t="shared" si="1"/>
        <v>0</v>
      </c>
      <c r="AJ16" s="52">
        <f t="shared" si="1"/>
        <v>0</v>
      </c>
      <c r="AK16" s="52">
        <f t="shared" si="1"/>
        <v>0</v>
      </c>
      <c r="AL16" s="52">
        <f t="shared" si="1"/>
        <v>0</v>
      </c>
      <c r="AM16" s="52">
        <f t="shared" si="1"/>
        <v>0</v>
      </c>
      <c r="AN16" s="52">
        <f t="shared" si="1"/>
        <v>0</v>
      </c>
      <c r="AO16" s="53">
        <f t="shared" si="1"/>
        <v>0</v>
      </c>
      <c r="AP16" s="86" t="s">
        <v>115</v>
      </c>
      <c r="AQ16" s="87"/>
      <c r="AR16" s="87"/>
      <c r="AS16" s="87"/>
      <c r="AT16" s="87"/>
      <c r="AU16" s="84">
        <f>AU4+AU8+AU12</f>
        <v>0</v>
      </c>
      <c r="AV16" s="85"/>
    </row>
    <row r="17" spans="1:41" ht="18" customHeight="1" x14ac:dyDescent="0.3">
      <c r="A17" s="83" t="s">
        <v>116</v>
      </c>
      <c r="B17" s="62"/>
      <c r="C17" s="62"/>
      <c r="D17" s="62"/>
      <c r="E17" s="62"/>
      <c r="F17" s="62"/>
      <c r="G17" s="62"/>
      <c r="H17" s="62"/>
      <c r="I17" s="62"/>
      <c r="J17" s="54">
        <f t="shared" ref="J17:AO17" si="2">J5+J9+J13</f>
        <v>0</v>
      </c>
      <c r="K17" s="54">
        <f t="shared" si="2"/>
        <v>0</v>
      </c>
      <c r="L17" s="54">
        <f t="shared" si="2"/>
        <v>0</v>
      </c>
      <c r="M17" s="54">
        <f t="shared" si="2"/>
        <v>0</v>
      </c>
      <c r="N17" s="54">
        <f t="shared" si="2"/>
        <v>0</v>
      </c>
      <c r="O17" s="54">
        <f t="shared" si="2"/>
        <v>0</v>
      </c>
      <c r="P17" s="54">
        <f t="shared" si="2"/>
        <v>0</v>
      </c>
      <c r="Q17" s="54">
        <f t="shared" si="2"/>
        <v>0</v>
      </c>
      <c r="R17" s="54">
        <f t="shared" si="2"/>
        <v>0</v>
      </c>
      <c r="S17" s="54">
        <f t="shared" si="2"/>
        <v>0</v>
      </c>
      <c r="T17" s="54">
        <f t="shared" si="2"/>
        <v>0</v>
      </c>
      <c r="U17" s="54">
        <f t="shared" si="2"/>
        <v>0</v>
      </c>
      <c r="V17" s="54">
        <f t="shared" si="2"/>
        <v>0</v>
      </c>
      <c r="W17" s="54">
        <f t="shared" si="2"/>
        <v>0</v>
      </c>
      <c r="X17" s="54">
        <f t="shared" si="2"/>
        <v>0</v>
      </c>
      <c r="Y17" s="54">
        <f t="shared" si="2"/>
        <v>0</v>
      </c>
      <c r="Z17" s="54">
        <f t="shared" si="2"/>
        <v>0</v>
      </c>
      <c r="AA17" s="54">
        <f t="shared" si="2"/>
        <v>0</v>
      </c>
      <c r="AB17" s="54">
        <f t="shared" si="2"/>
        <v>0</v>
      </c>
      <c r="AC17" s="54">
        <f t="shared" si="2"/>
        <v>0</v>
      </c>
      <c r="AD17" s="54">
        <f t="shared" si="2"/>
        <v>0</v>
      </c>
      <c r="AE17" s="54">
        <f t="shared" si="2"/>
        <v>0</v>
      </c>
      <c r="AF17" s="54">
        <f t="shared" si="2"/>
        <v>0</v>
      </c>
      <c r="AG17" s="54">
        <f t="shared" si="2"/>
        <v>0</v>
      </c>
      <c r="AH17" s="54">
        <f t="shared" si="2"/>
        <v>0</v>
      </c>
      <c r="AI17" s="54">
        <f t="shared" si="2"/>
        <v>0</v>
      </c>
      <c r="AJ17" s="54">
        <f t="shared" si="2"/>
        <v>0</v>
      </c>
      <c r="AK17" s="54">
        <f t="shared" si="2"/>
        <v>0</v>
      </c>
      <c r="AL17" s="54">
        <f t="shared" si="2"/>
        <v>0</v>
      </c>
      <c r="AM17" s="54">
        <f t="shared" si="2"/>
        <v>0</v>
      </c>
      <c r="AN17" s="54">
        <f t="shared" si="2"/>
        <v>0</v>
      </c>
      <c r="AO17" s="53">
        <f t="shared" si="2"/>
        <v>0</v>
      </c>
    </row>
    <row r="18" spans="1:41" ht="18" customHeight="1" x14ac:dyDescent="0.3">
      <c r="A18" s="81" t="s">
        <v>117</v>
      </c>
      <c r="B18" s="60"/>
      <c r="C18" s="60"/>
      <c r="D18" s="60"/>
      <c r="E18" s="60"/>
      <c r="F18" s="60"/>
      <c r="G18" s="60"/>
      <c r="H18" s="60"/>
      <c r="I18" s="60"/>
      <c r="J18" s="55">
        <f t="shared" ref="J18:AO18" si="3">J6+J10+J14</f>
        <v>0</v>
      </c>
      <c r="K18" s="55">
        <f t="shared" si="3"/>
        <v>0</v>
      </c>
      <c r="L18" s="55">
        <f t="shared" si="3"/>
        <v>0</v>
      </c>
      <c r="M18" s="55">
        <f t="shared" si="3"/>
        <v>0</v>
      </c>
      <c r="N18" s="55">
        <f t="shared" si="3"/>
        <v>0</v>
      </c>
      <c r="O18" s="55">
        <f t="shared" si="3"/>
        <v>0</v>
      </c>
      <c r="P18" s="55">
        <f t="shared" si="3"/>
        <v>0</v>
      </c>
      <c r="Q18" s="55">
        <f t="shared" si="3"/>
        <v>0</v>
      </c>
      <c r="R18" s="55">
        <f t="shared" si="3"/>
        <v>0</v>
      </c>
      <c r="S18" s="55">
        <f t="shared" si="3"/>
        <v>0</v>
      </c>
      <c r="T18" s="55">
        <f t="shared" si="3"/>
        <v>0</v>
      </c>
      <c r="U18" s="55">
        <f t="shared" si="3"/>
        <v>0</v>
      </c>
      <c r="V18" s="55">
        <f t="shared" si="3"/>
        <v>0</v>
      </c>
      <c r="W18" s="55">
        <f t="shared" si="3"/>
        <v>0</v>
      </c>
      <c r="X18" s="55">
        <f t="shared" si="3"/>
        <v>0</v>
      </c>
      <c r="Y18" s="55">
        <f t="shared" si="3"/>
        <v>0</v>
      </c>
      <c r="Z18" s="55">
        <f t="shared" si="3"/>
        <v>0</v>
      </c>
      <c r="AA18" s="55">
        <f t="shared" si="3"/>
        <v>0</v>
      </c>
      <c r="AB18" s="55">
        <f t="shared" si="3"/>
        <v>0</v>
      </c>
      <c r="AC18" s="55">
        <f t="shared" si="3"/>
        <v>0</v>
      </c>
      <c r="AD18" s="55">
        <f t="shared" si="3"/>
        <v>0</v>
      </c>
      <c r="AE18" s="55">
        <f t="shared" si="3"/>
        <v>0</v>
      </c>
      <c r="AF18" s="55">
        <f t="shared" si="3"/>
        <v>0</v>
      </c>
      <c r="AG18" s="55">
        <f t="shared" si="3"/>
        <v>0</v>
      </c>
      <c r="AH18" s="55">
        <f t="shared" si="3"/>
        <v>0</v>
      </c>
      <c r="AI18" s="55">
        <f t="shared" si="3"/>
        <v>0</v>
      </c>
      <c r="AJ18" s="55">
        <f t="shared" si="3"/>
        <v>0</v>
      </c>
      <c r="AK18" s="55">
        <f t="shared" si="3"/>
        <v>0</v>
      </c>
      <c r="AL18" s="55">
        <f t="shared" si="3"/>
        <v>0</v>
      </c>
      <c r="AM18" s="55">
        <f t="shared" si="3"/>
        <v>0</v>
      </c>
      <c r="AN18" s="55">
        <f t="shared" si="3"/>
        <v>0</v>
      </c>
      <c r="AO18" s="56">
        <f t="shared" si="3"/>
        <v>0</v>
      </c>
    </row>
    <row r="19" spans="1:41" ht="18" customHeight="1" x14ac:dyDescent="0.3">
      <c r="A19" s="78" t="s">
        <v>118</v>
      </c>
      <c r="B19" s="60"/>
      <c r="C19" s="60"/>
      <c r="D19" s="60"/>
      <c r="E19" s="60"/>
      <c r="F19" s="60"/>
      <c r="G19" s="60"/>
      <c r="H19" s="60"/>
      <c r="I19" s="60"/>
      <c r="J19" s="57">
        <f t="shared" ref="J19:AO19" si="4">J7+J11+J15</f>
        <v>0</v>
      </c>
      <c r="K19" s="57">
        <f t="shared" si="4"/>
        <v>0</v>
      </c>
      <c r="L19" s="57">
        <f t="shared" si="4"/>
        <v>0</v>
      </c>
      <c r="M19" s="57">
        <f t="shared" si="4"/>
        <v>0</v>
      </c>
      <c r="N19" s="57">
        <f t="shared" si="4"/>
        <v>0</v>
      </c>
      <c r="O19" s="57">
        <f t="shared" si="4"/>
        <v>0</v>
      </c>
      <c r="P19" s="57">
        <f t="shared" si="4"/>
        <v>0</v>
      </c>
      <c r="Q19" s="57">
        <f t="shared" si="4"/>
        <v>0</v>
      </c>
      <c r="R19" s="57">
        <f t="shared" si="4"/>
        <v>0</v>
      </c>
      <c r="S19" s="57">
        <f t="shared" si="4"/>
        <v>0</v>
      </c>
      <c r="T19" s="57">
        <f t="shared" si="4"/>
        <v>0</v>
      </c>
      <c r="U19" s="57">
        <f t="shared" si="4"/>
        <v>0</v>
      </c>
      <c r="V19" s="57">
        <f t="shared" si="4"/>
        <v>0</v>
      </c>
      <c r="W19" s="57">
        <f t="shared" si="4"/>
        <v>0</v>
      </c>
      <c r="X19" s="57">
        <f t="shared" si="4"/>
        <v>0</v>
      </c>
      <c r="Y19" s="57">
        <f t="shared" si="4"/>
        <v>0</v>
      </c>
      <c r="Z19" s="57">
        <f t="shared" si="4"/>
        <v>0</v>
      </c>
      <c r="AA19" s="57">
        <f t="shared" si="4"/>
        <v>0</v>
      </c>
      <c r="AB19" s="57">
        <f t="shared" si="4"/>
        <v>0</v>
      </c>
      <c r="AC19" s="57">
        <f t="shared" si="4"/>
        <v>0</v>
      </c>
      <c r="AD19" s="57">
        <f t="shared" si="4"/>
        <v>0</v>
      </c>
      <c r="AE19" s="57">
        <f t="shared" si="4"/>
        <v>0</v>
      </c>
      <c r="AF19" s="57">
        <f t="shared" si="4"/>
        <v>0</v>
      </c>
      <c r="AG19" s="57">
        <f t="shared" si="4"/>
        <v>0</v>
      </c>
      <c r="AH19" s="57">
        <f t="shared" si="4"/>
        <v>0</v>
      </c>
      <c r="AI19" s="57">
        <f t="shared" si="4"/>
        <v>0</v>
      </c>
      <c r="AJ19" s="57">
        <f t="shared" si="4"/>
        <v>0</v>
      </c>
      <c r="AK19" s="57">
        <f t="shared" si="4"/>
        <v>0</v>
      </c>
      <c r="AL19" s="57">
        <f t="shared" si="4"/>
        <v>0</v>
      </c>
      <c r="AM19" s="57">
        <f t="shared" si="4"/>
        <v>0</v>
      </c>
      <c r="AN19" s="57">
        <f t="shared" si="4"/>
        <v>0</v>
      </c>
      <c r="AO19" s="58">
        <f t="shared" si="4"/>
        <v>0</v>
      </c>
    </row>
  </sheetData>
  <mergeCells count="37">
    <mergeCell ref="AU16:AV16"/>
    <mergeCell ref="A10:A11"/>
    <mergeCell ref="B4:B5"/>
    <mergeCell ref="H8:H9"/>
    <mergeCell ref="F4:F5"/>
    <mergeCell ref="E12:E13"/>
    <mergeCell ref="H4:H5"/>
    <mergeCell ref="AP16:AT16"/>
    <mergeCell ref="A16:I16"/>
    <mergeCell ref="E8:E9"/>
    <mergeCell ref="A19:I19"/>
    <mergeCell ref="I8:I9"/>
    <mergeCell ref="C8:C9"/>
    <mergeCell ref="A4:A5"/>
    <mergeCell ref="H12:H13"/>
    <mergeCell ref="I4:I5"/>
    <mergeCell ref="D8:D9"/>
    <mergeCell ref="A18:I18"/>
    <mergeCell ref="A6:A7"/>
    <mergeCell ref="A17:I17"/>
    <mergeCell ref="A14:A15"/>
    <mergeCell ref="A1:AV1"/>
    <mergeCell ref="C4:C5"/>
    <mergeCell ref="AO2:AV2"/>
    <mergeCell ref="B12:B13"/>
    <mergeCell ref="E4:E5"/>
    <mergeCell ref="F12:F13"/>
    <mergeCell ref="B8:B9"/>
    <mergeCell ref="J2:AN2"/>
    <mergeCell ref="A2:I2"/>
    <mergeCell ref="F8:F9"/>
    <mergeCell ref="A12:A13"/>
    <mergeCell ref="D4:D5"/>
    <mergeCell ref="C12:C13"/>
    <mergeCell ref="I12:I13"/>
    <mergeCell ref="D12:D13"/>
    <mergeCell ref="A8:A9"/>
  </mergeCells>
  <conditionalFormatting sqref="J6:AN6">
    <cfRule type="expression" dxfId="23" priority="1" stopIfTrue="1">
      <formula>J6&gt;0</formula>
    </cfRule>
  </conditionalFormatting>
  <conditionalFormatting sqref="J7:AN7">
    <cfRule type="expression" dxfId="22" priority="2" stopIfTrue="1">
      <formula>J7&gt;0</formula>
    </cfRule>
  </conditionalFormatting>
  <conditionalFormatting sqref="J10:AN10">
    <cfRule type="expression" dxfId="21" priority="3" stopIfTrue="1">
      <formula>J10&gt;0</formula>
    </cfRule>
  </conditionalFormatting>
  <conditionalFormatting sqref="J11:AN11">
    <cfRule type="expression" dxfId="20" priority="4" stopIfTrue="1">
      <formula>J11&gt;0</formula>
    </cfRule>
  </conditionalFormatting>
  <conditionalFormatting sqref="J14:AN14">
    <cfRule type="expression" dxfId="19" priority="5" stopIfTrue="1">
      <formula>J14&gt;0</formula>
    </cfRule>
  </conditionalFormatting>
  <conditionalFormatting sqref="J15:AN15">
    <cfRule type="expression" dxfId="18" priority="6" stopIfTrue="1">
      <formula>J15&gt;0</formula>
    </cfRule>
  </conditionalFormatting>
  <conditionalFormatting sqref="J18:AN18">
    <cfRule type="expression" dxfId="17" priority="7" stopIfTrue="1">
      <formula>J18&gt;0</formula>
    </cfRule>
  </conditionalFormatting>
  <conditionalFormatting sqref="J19:AN19">
    <cfRule type="expression" dxfId="16" priority="8" stopIfTrue="1">
      <formula>J19&gt;0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9"/>
  <sheetViews>
    <sheetView zoomScaleNormal="100" workbookViewId="0">
      <pane xSplit="9" ySplit="3" topLeftCell="J4" activePane="bottomRight" state="frozen"/>
      <selection pane="topRight" activeCell="J1" sqref="J1"/>
      <selection pane="bottomLeft" activeCell="A4" sqref="A4"/>
      <selection pane="bottomRight"/>
    </sheetView>
  </sheetViews>
  <sheetFormatPr defaultColWidth="8.6640625" defaultRowHeight="14.4" x14ac:dyDescent="0.3"/>
  <cols>
    <col min="1" max="1" width="5" customWidth="1"/>
    <col min="2" max="3" width="14" customWidth="1"/>
    <col min="4" max="4" width="10" customWidth="1"/>
    <col min="5" max="5" width="12" customWidth="1"/>
    <col min="6" max="6" width="26" customWidth="1"/>
    <col min="7" max="7" width="9" customWidth="1"/>
    <col min="8" max="8" width="7" customWidth="1"/>
    <col min="9" max="9" width="8" customWidth="1"/>
    <col min="10" max="39" width="7" customWidth="1"/>
    <col min="40" max="48" width="14" customWidth="1"/>
  </cols>
  <sheetData>
    <row r="1" spans="1:48" ht="30" customHeight="1" x14ac:dyDescent="0.3">
      <c r="A1" s="71" t="s">
        <v>279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</row>
    <row r="2" spans="1:48" ht="21.75" customHeight="1" x14ac:dyDescent="0.3">
      <c r="A2" s="76" t="s">
        <v>63</v>
      </c>
      <c r="B2" s="60"/>
      <c r="C2" s="60"/>
      <c r="D2" s="60"/>
      <c r="E2" s="60"/>
      <c r="F2" s="60"/>
      <c r="G2" s="60"/>
      <c r="H2" s="60"/>
      <c r="I2" s="60"/>
      <c r="J2" s="75" t="s">
        <v>64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74" t="s">
        <v>65</v>
      </c>
      <c r="AO2" s="60"/>
      <c r="AP2" s="60"/>
      <c r="AQ2" s="60"/>
      <c r="AR2" s="60"/>
      <c r="AS2" s="60"/>
      <c r="AT2" s="60"/>
      <c r="AU2" s="60"/>
      <c r="AV2" s="60"/>
    </row>
    <row r="3" spans="1:48" ht="42" customHeight="1" x14ac:dyDescent="0.3">
      <c r="A3" s="30" t="s">
        <v>39</v>
      </c>
      <c r="B3" s="30" t="s">
        <v>66</v>
      </c>
      <c r="C3" s="30" t="s">
        <v>40</v>
      </c>
      <c r="D3" s="30" t="s">
        <v>41</v>
      </c>
      <c r="E3" s="30" t="s">
        <v>67</v>
      </c>
      <c r="F3" s="30" t="s">
        <v>68</v>
      </c>
      <c r="G3" s="30" t="s">
        <v>69</v>
      </c>
      <c r="H3" s="30" t="s">
        <v>70</v>
      </c>
      <c r="I3" s="30" t="s">
        <v>71</v>
      </c>
      <c r="J3" s="32" t="s">
        <v>280</v>
      </c>
      <c r="K3" s="31" t="s">
        <v>281</v>
      </c>
      <c r="L3" s="31" t="s">
        <v>282</v>
      </c>
      <c r="M3" s="31" t="s">
        <v>283</v>
      </c>
      <c r="N3" s="31" t="s">
        <v>284</v>
      </c>
      <c r="O3" s="31" t="s">
        <v>285</v>
      </c>
      <c r="P3" s="32" t="s">
        <v>286</v>
      </c>
      <c r="Q3" s="32" t="s">
        <v>287</v>
      </c>
      <c r="R3" s="31" t="s">
        <v>288</v>
      </c>
      <c r="S3" s="31" t="s">
        <v>289</v>
      </c>
      <c r="T3" s="31" t="s">
        <v>290</v>
      </c>
      <c r="U3" s="31" t="s">
        <v>291</v>
      </c>
      <c r="V3" s="31" t="s">
        <v>292</v>
      </c>
      <c r="W3" s="32" t="s">
        <v>293</v>
      </c>
      <c r="X3" s="32" t="s">
        <v>294</v>
      </c>
      <c r="Y3" s="31" t="s">
        <v>295</v>
      </c>
      <c r="Z3" s="31" t="s">
        <v>296</v>
      </c>
      <c r="AA3" s="31" t="s">
        <v>297</v>
      </c>
      <c r="AB3" s="31" t="s">
        <v>298</v>
      </c>
      <c r="AC3" s="31" t="s">
        <v>299</v>
      </c>
      <c r="AD3" s="32" t="s">
        <v>300</v>
      </c>
      <c r="AE3" s="32" t="s">
        <v>301</v>
      </c>
      <c r="AF3" s="31" t="s">
        <v>302</v>
      </c>
      <c r="AG3" s="31" t="s">
        <v>303</v>
      </c>
      <c r="AH3" s="31" t="s">
        <v>304</v>
      </c>
      <c r="AI3" s="31" t="s">
        <v>305</v>
      </c>
      <c r="AJ3" s="31" t="s">
        <v>306</v>
      </c>
      <c r="AK3" s="32" t="s">
        <v>307</v>
      </c>
      <c r="AL3" s="32" t="s">
        <v>308</v>
      </c>
      <c r="AM3" s="31" t="s">
        <v>309</v>
      </c>
      <c r="AN3" s="13" t="s">
        <v>102</v>
      </c>
      <c r="AO3" s="13" t="s">
        <v>103</v>
      </c>
      <c r="AP3" s="13" t="s">
        <v>104</v>
      </c>
      <c r="AQ3" s="13" t="s">
        <v>105</v>
      </c>
      <c r="AR3" s="13" t="s">
        <v>106</v>
      </c>
      <c r="AS3" s="13" t="s">
        <v>107</v>
      </c>
      <c r="AT3" s="13" t="s">
        <v>108</v>
      </c>
      <c r="AU3" s="13" t="s">
        <v>109</v>
      </c>
      <c r="AV3" s="13" t="s">
        <v>55</v>
      </c>
    </row>
    <row r="4" spans="1:48" ht="19.5" customHeight="1" x14ac:dyDescent="0.3">
      <c r="A4" s="77" t="s">
        <v>110</v>
      </c>
      <c r="B4" s="72" t="s">
        <v>25</v>
      </c>
      <c r="C4" s="72" t="s">
        <v>58</v>
      </c>
      <c r="D4" s="77" t="s">
        <v>2</v>
      </c>
      <c r="E4" s="73" t="s">
        <v>27</v>
      </c>
      <c r="F4" s="73" t="s">
        <v>29</v>
      </c>
      <c r="G4" s="38" t="s">
        <v>59</v>
      </c>
      <c r="H4" s="73">
        <v>70</v>
      </c>
      <c r="I4" s="73">
        <v>70</v>
      </c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40">
        <f t="shared" ref="AN4:AN15" si="0">SUM(J4:AM4)</f>
        <v>0</v>
      </c>
      <c r="AO4" s="41">
        <f>'⚙ Настройки'!B9</f>
        <v>14</v>
      </c>
      <c r="AP4" s="42">
        <f>IFERROR(AN5/AN4*100,0)</f>
        <v>0</v>
      </c>
      <c r="AQ4" s="42">
        <f>IFERROR(AN4*AO4/100,0)</f>
        <v>0</v>
      </c>
      <c r="AR4" s="42">
        <f>AN5</f>
        <v>0</v>
      </c>
      <c r="AS4" s="42">
        <f>AQ4-AR4</f>
        <v>0</v>
      </c>
      <c r="AT4" s="43">
        <f>IFERROR((AR4-AQ4)/AQ4*100,0)</f>
        <v>0</v>
      </c>
      <c r="AU4" s="41">
        <f>AR4*'⚙ Настройки'!B10</f>
        <v>0</v>
      </c>
      <c r="AV4" s="44" t="str">
        <f>IF(AN4=0,"—",IF(AT4&lt;='⚙ Настройки'!B11,"✅ ОК","⚠️ ПЕРЕРАСХОД"))</f>
        <v>—</v>
      </c>
    </row>
    <row r="5" spans="1:48" ht="18" customHeight="1" x14ac:dyDescent="0.3">
      <c r="A5" s="68"/>
      <c r="B5" s="68"/>
      <c r="C5" s="68"/>
      <c r="D5" s="68"/>
      <c r="E5" s="68"/>
      <c r="F5" s="68"/>
      <c r="G5" s="45" t="s">
        <v>111</v>
      </c>
      <c r="H5" s="68"/>
      <c r="I5" s="68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7">
        <f t="shared" si="0"/>
        <v>0</v>
      </c>
      <c r="AO5" s="18"/>
      <c r="AP5" s="15"/>
      <c r="AQ5" s="18"/>
      <c r="AR5" s="15"/>
      <c r="AS5" s="15"/>
      <c r="AT5" s="15"/>
      <c r="AU5" s="15"/>
      <c r="AV5" s="15"/>
    </row>
    <row r="6" spans="1:48" ht="16.95" customHeight="1" x14ac:dyDescent="0.3">
      <c r="A6" s="88" t="s">
        <v>15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9">
        <f t="shared" si="0"/>
        <v>0</v>
      </c>
    </row>
    <row r="7" spans="1:48" ht="16.95" customHeight="1" x14ac:dyDescent="0.3">
      <c r="A7" s="6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1">
        <f t="shared" si="0"/>
        <v>0</v>
      </c>
    </row>
    <row r="8" spans="1:48" ht="19.5" customHeight="1" x14ac:dyDescent="0.3">
      <c r="A8" s="77" t="s">
        <v>112</v>
      </c>
      <c r="B8" s="72" t="s">
        <v>25</v>
      </c>
      <c r="C8" s="72" t="s">
        <v>58</v>
      </c>
      <c r="D8" s="77" t="s">
        <v>3</v>
      </c>
      <c r="E8" s="73" t="s">
        <v>27</v>
      </c>
      <c r="F8" s="73" t="s">
        <v>30</v>
      </c>
      <c r="G8" s="38" t="s">
        <v>59</v>
      </c>
      <c r="H8" s="73">
        <v>70</v>
      </c>
      <c r="I8" s="73">
        <v>70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40">
        <f t="shared" si="0"/>
        <v>0</v>
      </c>
      <c r="AO8" s="41">
        <f>'⚙ Настройки'!C9</f>
        <v>14</v>
      </c>
      <c r="AP8" s="42">
        <f>IFERROR(AN9/AN8*100,0)</f>
        <v>0</v>
      </c>
      <c r="AQ8" s="42">
        <f>IFERROR(AN8*AO8/100,0)</f>
        <v>0</v>
      </c>
      <c r="AR8" s="42">
        <f>AN9</f>
        <v>0</v>
      </c>
      <c r="AS8" s="42">
        <f>AQ8-AR8</f>
        <v>0</v>
      </c>
      <c r="AT8" s="43">
        <f>IFERROR((AR8-AQ8)/AQ8*100,0)</f>
        <v>0</v>
      </c>
      <c r="AU8" s="41">
        <f>AR8*'⚙ Настройки'!C10</f>
        <v>0</v>
      </c>
      <c r="AV8" s="44" t="str">
        <f>IF(AN8=0,"—",IF(AT8&lt;='⚙ Настройки'!C11,"✅ ОК","⚠️ ПЕРЕРАСХОД"))</f>
        <v>—</v>
      </c>
    </row>
    <row r="9" spans="1:48" ht="18" customHeight="1" x14ac:dyDescent="0.3">
      <c r="A9" s="68"/>
      <c r="B9" s="68"/>
      <c r="C9" s="68"/>
      <c r="D9" s="68"/>
      <c r="E9" s="68"/>
      <c r="F9" s="68"/>
      <c r="G9" s="45" t="s">
        <v>111</v>
      </c>
      <c r="H9" s="68"/>
      <c r="I9" s="68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7">
        <f t="shared" si="0"/>
        <v>0</v>
      </c>
      <c r="AO9" s="18"/>
      <c r="AP9" s="15"/>
      <c r="AQ9" s="18"/>
      <c r="AR9" s="15"/>
      <c r="AS9" s="15"/>
      <c r="AT9" s="15"/>
      <c r="AU9" s="15"/>
      <c r="AV9" s="15"/>
    </row>
    <row r="10" spans="1:48" ht="16.95" customHeight="1" x14ac:dyDescent="0.3">
      <c r="A10" s="88" t="s">
        <v>15</v>
      </c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9">
        <f t="shared" si="0"/>
        <v>0</v>
      </c>
    </row>
    <row r="11" spans="1:48" ht="16.95" customHeight="1" x14ac:dyDescent="0.3">
      <c r="A11" s="6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1">
        <f t="shared" si="0"/>
        <v>0</v>
      </c>
    </row>
    <row r="12" spans="1:48" ht="19.5" customHeight="1" x14ac:dyDescent="0.3">
      <c r="A12" s="77" t="s">
        <v>113</v>
      </c>
      <c r="B12" s="72" t="s">
        <v>25</v>
      </c>
      <c r="C12" s="72" t="s">
        <v>58</v>
      </c>
      <c r="D12" s="77" t="s">
        <v>4</v>
      </c>
      <c r="E12" s="73" t="s">
        <v>27</v>
      </c>
      <c r="F12" s="73" t="s">
        <v>31</v>
      </c>
      <c r="G12" s="38" t="s">
        <v>59</v>
      </c>
      <c r="H12" s="73">
        <v>70</v>
      </c>
      <c r="I12" s="73">
        <v>70</v>
      </c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40">
        <f t="shared" si="0"/>
        <v>0</v>
      </c>
      <c r="AO12" s="41">
        <f>'⚙ Настройки'!D9</f>
        <v>14</v>
      </c>
      <c r="AP12" s="42">
        <f>IFERROR(AN13/AN12*100,0)</f>
        <v>0</v>
      </c>
      <c r="AQ12" s="42">
        <f>IFERROR(AN12*AO12/100,0)</f>
        <v>0</v>
      </c>
      <c r="AR12" s="42">
        <f>AN13</f>
        <v>0</v>
      </c>
      <c r="AS12" s="42">
        <f>AQ12-AR12</f>
        <v>0</v>
      </c>
      <c r="AT12" s="43">
        <f>IFERROR((AR12-AQ12)/AQ12*100,0)</f>
        <v>0</v>
      </c>
      <c r="AU12" s="41">
        <f>AR12*'⚙ Настройки'!D10</f>
        <v>0</v>
      </c>
      <c r="AV12" s="44" t="str">
        <f>IF(AN12=0,"—",IF(AT12&lt;='⚙ Настройки'!D11,"✅ ОК","⚠️ ПЕРЕРАСХОД"))</f>
        <v>—</v>
      </c>
    </row>
    <row r="13" spans="1:48" ht="18" customHeight="1" x14ac:dyDescent="0.3">
      <c r="A13" s="68"/>
      <c r="B13" s="68"/>
      <c r="C13" s="68"/>
      <c r="D13" s="68"/>
      <c r="E13" s="68"/>
      <c r="F13" s="68"/>
      <c r="G13" s="45" t="s">
        <v>111</v>
      </c>
      <c r="H13" s="68"/>
      <c r="I13" s="6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7">
        <f t="shared" si="0"/>
        <v>0</v>
      </c>
      <c r="AO13" s="18"/>
      <c r="AP13" s="15"/>
      <c r="AQ13" s="18"/>
      <c r="AR13" s="15"/>
      <c r="AS13" s="15"/>
      <c r="AT13" s="15"/>
      <c r="AU13" s="15"/>
      <c r="AV13" s="15"/>
    </row>
    <row r="14" spans="1:48" ht="16.95" customHeight="1" x14ac:dyDescent="0.3">
      <c r="A14" s="88" t="s">
        <v>15</v>
      </c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9">
        <f t="shared" si="0"/>
        <v>0</v>
      </c>
    </row>
    <row r="15" spans="1:48" ht="16.95" customHeight="1" x14ac:dyDescent="0.3">
      <c r="A15" s="6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1">
        <f t="shared" si="0"/>
        <v>0</v>
      </c>
    </row>
    <row r="16" spans="1:48" ht="21" customHeight="1" x14ac:dyDescent="0.3">
      <c r="A16" s="83" t="s">
        <v>114</v>
      </c>
      <c r="B16" s="62"/>
      <c r="C16" s="62"/>
      <c r="D16" s="62"/>
      <c r="E16" s="62"/>
      <c r="F16" s="62"/>
      <c r="G16" s="62"/>
      <c r="H16" s="62"/>
      <c r="I16" s="62"/>
      <c r="J16" s="52">
        <f t="shared" ref="J16:AN16" si="1">J4+J8+J12</f>
        <v>0</v>
      </c>
      <c r="K16" s="52">
        <f t="shared" si="1"/>
        <v>0</v>
      </c>
      <c r="L16" s="52">
        <f t="shared" si="1"/>
        <v>0</v>
      </c>
      <c r="M16" s="52">
        <f t="shared" si="1"/>
        <v>0</v>
      </c>
      <c r="N16" s="52">
        <f t="shared" si="1"/>
        <v>0</v>
      </c>
      <c r="O16" s="52">
        <f t="shared" si="1"/>
        <v>0</v>
      </c>
      <c r="P16" s="52">
        <f t="shared" si="1"/>
        <v>0</v>
      </c>
      <c r="Q16" s="52">
        <f t="shared" si="1"/>
        <v>0</v>
      </c>
      <c r="R16" s="52">
        <f t="shared" si="1"/>
        <v>0</v>
      </c>
      <c r="S16" s="52">
        <f t="shared" si="1"/>
        <v>0</v>
      </c>
      <c r="T16" s="52">
        <f t="shared" si="1"/>
        <v>0</v>
      </c>
      <c r="U16" s="52">
        <f t="shared" si="1"/>
        <v>0</v>
      </c>
      <c r="V16" s="52">
        <f t="shared" si="1"/>
        <v>0</v>
      </c>
      <c r="W16" s="52">
        <f t="shared" si="1"/>
        <v>0</v>
      </c>
      <c r="X16" s="52">
        <f t="shared" si="1"/>
        <v>0</v>
      </c>
      <c r="Y16" s="52">
        <f t="shared" si="1"/>
        <v>0</v>
      </c>
      <c r="Z16" s="52">
        <f t="shared" si="1"/>
        <v>0</v>
      </c>
      <c r="AA16" s="52">
        <f t="shared" si="1"/>
        <v>0</v>
      </c>
      <c r="AB16" s="52">
        <f t="shared" si="1"/>
        <v>0</v>
      </c>
      <c r="AC16" s="52">
        <f t="shared" si="1"/>
        <v>0</v>
      </c>
      <c r="AD16" s="52">
        <f t="shared" si="1"/>
        <v>0</v>
      </c>
      <c r="AE16" s="52">
        <f t="shared" si="1"/>
        <v>0</v>
      </c>
      <c r="AF16" s="52">
        <f t="shared" si="1"/>
        <v>0</v>
      </c>
      <c r="AG16" s="52">
        <f t="shared" si="1"/>
        <v>0</v>
      </c>
      <c r="AH16" s="52">
        <f t="shared" si="1"/>
        <v>0</v>
      </c>
      <c r="AI16" s="52">
        <f t="shared" si="1"/>
        <v>0</v>
      </c>
      <c r="AJ16" s="52">
        <f t="shared" si="1"/>
        <v>0</v>
      </c>
      <c r="AK16" s="52">
        <f t="shared" si="1"/>
        <v>0</v>
      </c>
      <c r="AL16" s="52">
        <f t="shared" si="1"/>
        <v>0</v>
      </c>
      <c r="AM16" s="52">
        <f t="shared" si="1"/>
        <v>0</v>
      </c>
      <c r="AN16" s="53">
        <f t="shared" si="1"/>
        <v>0</v>
      </c>
      <c r="AO16" s="86" t="s">
        <v>115</v>
      </c>
      <c r="AP16" s="87"/>
      <c r="AQ16" s="87"/>
      <c r="AR16" s="87"/>
      <c r="AS16" s="87"/>
      <c r="AT16" s="84">
        <f>AU4+AU8+AU12</f>
        <v>0</v>
      </c>
      <c r="AU16" s="85"/>
      <c r="AV16" s="85"/>
    </row>
    <row r="17" spans="1:40" ht="18" customHeight="1" x14ac:dyDescent="0.3">
      <c r="A17" s="83" t="s">
        <v>116</v>
      </c>
      <c r="B17" s="62"/>
      <c r="C17" s="62"/>
      <c r="D17" s="62"/>
      <c r="E17" s="62"/>
      <c r="F17" s="62"/>
      <c r="G17" s="62"/>
      <c r="H17" s="62"/>
      <c r="I17" s="62"/>
      <c r="J17" s="54">
        <f t="shared" ref="J17:AN17" si="2">J5+J9+J13</f>
        <v>0</v>
      </c>
      <c r="K17" s="54">
        <f t="shared" si="2"/>
        <v>0</v>
      </c>
      <c r="L17" s="54">
        <f t="shared" si="2"/>
        <v>0</v>
      </c>
      <c r="M17" s="54">
        <f t="shared" si="2"/>
        <v>0</v>
      </c>
      <c r="N17" s="54">
        <f t="shared" si="2"/>
        <v>0</v>
      </c>
      <c r="O17" s="54">
        <f t="shared" si="2"/>
        <v>0</v>
      </c>
      <c r="P17" s="54">
        <f t="shared" si="2"/>
        <v>0</v>
      </c>
      <c r="Q17" s="54">
        <f t="shared" si="2"/>
        <v>0</v>
      </c>
      <c r="R17" s="54">
        <f t="shared" si="2"/>
        <v>0</v>
      </c>
      <c r="S17" s="54">
        <f t="shared" si="2"/>
        <v>0</v>
      </c>
      <c r="T17" s="54">
        <f t="shared" si="2"/>
        <v>0</v>
      </c>
      <c r="U17" s="54">
        <f t="shared" si="2"/>
        <v>0</v>
      </c>
      <c r="V17" s="54">
        <f t="shared" si="2"/>
        <v>0</v>
      </c>
      <c r="W17" s="54">
        <f t="shared" si="2"/>
        <v>0</v>
      </c>
      <c r="X17" s="54">
        <f t="shared" si="2"/>
        <v>0</v>
      </c>
      <c r="Y17" s="54">
        <f t="shared" si="2"/>
        <v>0</v>
      </c>
      <c r="Z17" s="54">
        <f t="shared" si="2"/>
        <v>0</v>
      </c>
      <c r="AA17" s="54">
        <f t="shared" si="2"/>
        <v>0</v>
      </c>
      <c r="AB17" s="54">
        <f t="shared" si="2"/>
        <v>0</v>
      </c>
      <c r="AC17" s="54">
        <f t="shared" si="2"/>
        <v>0</v>
      </c>
      <c r="AD17" s="54">
        <f t="shared" si="2"/>
        <v>0</v>
      </c>
      <c r="AE17" s="54">
        <f t="shared" si="2"/>
        <v>0</v>
      </c>
      <c r="AF17" s="54">
        <f t="shared" si="2"/>
        <v>0</v>
      </c>
      <c r="AG17" s="54">
        <f t="shared" si="2"/>
        <v>0</v>
      </c>
      <c r="AH17" s="54">
        <f t="shared" si="2"/>
        <v>0</v>
      </c>
      <c r="AI17" s="54">
        <f t="shared" si="2"/>
        <v>0</v>
      </c>
      <c r="AJ17" s="54">
        <f t="shared" si="2"/>
        <v>0</v>
      </c>
      <c r="AK17" s="54">
        <f t="shared" si="2"/>
        <v>0</v>
      </c>
      <c r="AL17" s="54">
        <f t="shared" si="2"/>
        <v>0</v>
      </c>
      <c r="AM17" s="54">
        <f t="shared" si="2"/>
        <v>0</v>
      </c>
      <c r="AN17" s="53">
        <f t="shared" si="2"/>
        <v>0</v>
      </c>
    </row>
    <row r="18" spans="1:40" ht="18" customHeight="1" x14ac:dyDescent="0.3">
      <c r="A18" s="81" t="s">
        <v>117</v>
      </c>
      <c r="B18" s="60"/>
      <c r="C18" s="60"/>
      <c r="D18" s="60"/>
      <c r="E18" s="60"/>
      <c r="F18" s="60"/>
      <c r="G18" s="60"/>
      <c r="H18" s="60"/>
      <c r="I18" s="60"/>
      <c r="J18" s="55">
        <f t="shared" ref="J18:AN18" si="3">J6+J10+J14</f>
        <v>0</v>
      </c>
      <c r="K18" s="55">
        <f t="shared" si="3"/>
        <v>0</v>
      </c>
      <c r="L18" s="55">
        <f t="shared" si="3"/>
        <v>0</v>
      </c>
      <c r="M18" s="55">
        <f t="shared" si="3"/>
        <v>0</v>
      </c>
      <c r="N18" s="55">
        <f t="shared" si="3"/>
        <v>0</v>
      </c>
      <c r="O18" s="55">
        <f t="shared" si="3"/>
        <v>0</v>
      </c>
      <c r="P18" s="55">
        <f t="shared" si="3"/>
        <v>0</v>
      </c>
      <c r="Q18" s="55">
        <f t="shared" si="3"/>
        <v>0</v>
      </c>
      <c r="R18" s="55">
        <f t="shared" si="3"/>
        <v>0</v>
      </c>
      <c r="S18" s="55">
        <f t="shared" si="3"/>
        <v>0</v>
      </c>
      <c r="T18" s="55">
        <f t="shared" si="3"/>
        <v>0</v>
      </c>
      <c r="U18" s="55">
        <f t="shared" si="3"/>
        <v>0</v>
      </c>
      <c r="V18" s="55">
        <f t="shared" si="3"/>
        <v>0</v>
      </c>
      <c r="W18" s="55">
        <f t="shared" si="3"/>
        <v>0</v>
      </c>
      <c r="X18" s="55">
        <f t="shared" si="3"/>
        <v>0</v>
      </c>
      <c r="Y18" s="55">
        <f t="shared" si="3"/>
        <v>0</v>
      </c>
      <c r="Z18" s="55">
        <f t="shared" si="3"/>
        <v>0</v>
      </c>
      <c r="AA18" s="55">
        <f t="shared" si="3"/>
        <v>0</v>
      </c>
      <c r="AB18" s="55">
        <f t="shared" si="3"/>
        <v>0</v>
      </c>
      <c r="AC18" s="55">
        <f t="shared" si="3"/>
        <v>0</v>
      </c>
      <c r="AD18" s="55">
        <f t="shared" si="3"/>
        <v>0</v>
      </c>
      <c r="AE18" s="55">
        <f t="shared" si="3"/>
        <v>0</v>
      </c>
      <c r="AF18" s="55">
        <f t="shared" si="3"/>
        <v>0</v>
      </c>
      <c r="AG18" s="55">
        <f t="shared" si="3"/>
        <v>0</v>
      </c>
      <c r="AH18" s="55">
        <f t="shared" si="3"/>
        <v>0</v>
      </c>
      <c r="AI18" s="55">
        <f t="shared" si="3"/>
        <v>0</v>
      </c>
      <c r="AJ18" s="55">
        <f t="shared" si="3"/>
        <v>0</v>
      </c>
      <c r="AK18" s="55">
        <f t="shared" si="3"/>
        <v>0</v>
      </c>
      <c r="AL18" s="55">
        <f t="shared" si="3"/>
        <v>0</v>
      </c>
      <c r="AM18" s="55">
        <f t="shared" si="3"/>
        <v>0</v>
      </c>
      <c r="AN18" s="56">
        <f t="shared" si="3"/>
        <v>0</v>
      </c>
    </row>
    <row r="19" spans="1:40" ht="18" customHeight="1" x14ac:dyDescent="0.3">
      <c r="A19" s="78" t="s">
        <v>118</v>
      </c>
      <c r="B19" s="60"/>
      <c r="C19" s="60"/>
      <c r="D19" s="60"/>
      <c r="E19" s="60"/>
      <c r="F19" s="60"/>
      <c r="G19" s="60"/>
      <c r="H19" s="60"/>
      <c r="I19" s="60"/>
      <c r="J19" s="57">
        <f t="shared" ref="J19:AN19" si="4">J7+J11+J15</f>
        <v>0</v>
      </c>
      <c r="K19" s="57">
        <f t="shared" si="4"/>
        <v>0</v>
      </c>
      <c r="L19" s="57">
        <f t="shared" si="4"/>
        <v>0</v>
      </c>
      <c r="M19" s="57">
        <f t="shared" si="4"/>
        <v>0</v>
      </c>
      <c r="N19" s="57">
        <f t="shared" si="4"/>
        <v>0</v>
      </c>
      <c r="O19" s="57">
        <f t="shared" si="4"/>
        <v>0</v>
      </c>
      <c r="P19" s="57">
        <f t="shared" si="4"/>
        <v>0</v>
      </c>
      <c r="Q19" s="57">
        <f t="shared" si="4"/>
        <v>0</v>
      </c>
      <c r="R19" s="57">
        <f t="shared" si="4"/>
        <v>0</v>
      </c>
      <c r="S19" s="57">
        <f t="shared" si="4"/>
        <v>0</v>
      </c>
      <c r="T19" s="57">
        <f t="shared" si="4"/>
        <v>0</v>
      </c>
      <c r="U19" s="57">
        <f t="shared" si="4"/>
        <v>0</v>
      </c>
      <c r="V19" s="57">
        <f t="shared" si="4"/>
        <v>0</v>
      </c>
      <c r="W19" s="57">
        <f t="shared" si="4"/>
        <v>0</v>
      </c>
      <c r="X19" s="57">
        <f t="shared" si="4"/>
        <v>0</v>
      </c>
      <c r="Y19" s="57">
        <f t="shared" si="4"/>
        <v>0</v>
      </c>
      <c r="Z19" s="57">
        <f t="shared" si="4"/>
        <v>0</v>
      </c>
      <c r="AA19" s="57">
        <f t="shared" si="4"/>
        <v>0</v>
      </c>
      <c r="AB19" s="57">
        <f t="shared" si="4"/>
        <v>0</v>
      </c>
      <c r="AC19" s="57">
        <f t="shared" si="4"/>
        <v>0</v>
      </c>
      <c r="AD19" s="57">
        <f t="shared" si="4"/>
        <v>0</v>
      </c>
      <c r="AE19" s="57">
        <f t="shared" si="4"/>
        <v>0</v>
      </c>
      <c r="AF19" s="57">
        <f t="shared" si="4"/>
        <v>0</v>
      </c>
      <c r="AG19" s="57">
        <f t="shared" si="4"/>
        <v>0</v>
      </c>
      <c r="AH19" s="57">
        <f t="shared" si="4"/>
        <v>0</v>
      </c>
      <c r="AI19" s="57">
        <f t="shared" si="4"/>
        <v>0</v>
      </c>
      <c r="AJ19" s="57">
        <f t="shared" si="4"/>
        <v>0</v>
      </c>
      <c r="AK19" s="57">
        <f t="shared" si="4"/>
        <v>0</v>
      </c>
      <c r="AL19" s="57">
        <f t="shared" si="4"/>
        <v>0</v>
      </c>
      <c r="AM19" s="57">
        <f t="shared" si="4"/>
        <v>0</v>
      </c>
      <c r="AN19" s="58">
        <f t="shared" si="4"/>
        <v>0</v>
      </c>
    </row>
  </sheetData>
  <mergeCells count="37">
    <mergeCell ref="AT16:AV16"/>
    <mergeCell ref="B4:B5"/>
    <mergeCell ref="H8:H9"/>
    <mergeCell ref="F4:F5"/>
    <mergeCell ref="E12:E13"/>
    <mergeCell ref="H4:H5"/>
    <mergeCell ref="A16:I16"/>
    <mergeCell ref="AO16:AS16"/>
    <mergeCell ref="A19:I19"/>
    <mergeCell ref="I8:I9"/>
    <mergeCell ref="C8:C9"/>
    <mergeCell ref="A4:A5"/>
    <mergeCell ref="H12:H13"/>
    <mergeCell ref="I4:I5"/>
    <mergeCell ref="D8:D9"/>
    <mergeCell ref="A10:A11"/>
    <mergeCell ref="B8:B9"/>
    <mergeCell ref="A18:I18"/>
    <mergeCell ref="A6:A7"/>
    <mergeCell ref="A17:I17"/>
    <mergeCell ref="D12:D13"/>
    <mergeCell ref="A14:A15"/>
    <mergeCell ref="A8:A9"/>
    <mergeCell ref="A1:AV1"/>
    <mergeCell ref="C4:C5"/>
    <mergeCell ref="B12:B13"/>
    <mergeCell ref="E4:E5"/>
    <mergeCell ref="F12:F13"/>
    <mergeCell ref="AN2:AV2"/>
    <mergeCell ref="I12:I13"/>
    <mergeCell ref="J2:AM2"/>
    <mergeCell ref="E8:E9"/>
    <mergeCell ref="A2:I2"/>
    <mergeCell ref="F8:F9"/>
    <mergeCell ref="A12:A13"/>
    <mergeCell ref="D4:D5"/>
    <mergeCell ref="C12:C13"/>
  </mergeCells>
  <conditionalFormatting sqref="J6:AM6">
    <cfRule type="expression" dxfId="15" priority="1" stopIfTrue="1">
      <formula>J6&gt;0</formula>
    </cfRule>
  </conditionalFormatting>
  <conditionalFormatting sqref="J7:AM7">
    <cfRule type="expression" dxfId="14" priority="2" stopIfTrue="1">
      <formula>J7&gt;0</formula>
    </cfRule>
  </conditionalFormatting>
  <conditionalFormatting sqref="J10:AM10">
    <cfRule type="expression" dxfId="13" priority="3" stopIfTrue="1">
      <formula>J10&gt;0</formula>
    </cfRule>
  </conditionalFormatting>
  <conditionalFormatting sqref="J11:AM11">
    <cfRule type="expression" dxfId="12" priority="4" stopIfTrue="1">
      <formula>J11&gt;0</formula>
    </cfRule>
  </conditionalFormatting>
  <conditionalFormatting sqref="J14:AM14">
    <cfRule type="expression" dxfId="11" priority="5" stopIfTrue="1">
      <formula>J14&gt;0</formula>
    </cfRule>
  </conditionalFormatting>
  <conditionalFormatting sqref="J15:AM15">
    <cfRule type="expression" dxfId="10" priority="6" stopIfTrue="1">
      <formula>J15&gt;0</formula>
    </cfRule>
  </conditionalFormatting>
  <conditionalFormatting sqref="J18:AM18">
    <cfRule type="expression" dxfId="9" priority="7" stopIfTrue="1">
      <formula>J18&gt;0</formula>
    </cfRule>
  </conditionalFormatting>
  <conditionalFormatting sqref="J19:AM19">
    <cfRule type="expression" dxfId="8" priority="8" stopIfTrue="1">
      <formula>J19&gt;0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9"/>
  <sheetViews>
    <sheetView zoomScaleNormal="100" workbookViewId="0">
      <pane xSplit="9" ySplit="3" topLeftCell="J4" activePane="bottomRight" state="frozen"/>
      <selection pane="topRight" activeCell="J1" sqref="J1"/>
      <selection pane="bottomLeft" activeCell="A4" sqref="A4"/>
      <selection pane="bottomRight"/>
    </sheetView>
  </sheetViews>
  <sheetFormatPr defaultColWidth="8.6640625" defaultRowHeight="14.4" x14ac:dyDescent="0.3"/>
  <cols>
    <col min="1" max="1" width="5" customWidth="1"/>
    <col min="2" max="3" width="14" customWidth="1"/>
    <col min="4" max="4" width="10" customWidth="1"/>
    <col min="5" max="5" width="12" customWidth="1"/>
    <col min="6" max="6" width="26" customWidth="1"/>
    <col min="7" max="7" width="9" customWidth="1"/>
    <col min="8" max="8" width="7" customWidth="1"/>
    <col min="9" max="9" width="8" customWidth="1"/>
    <col min="10" max="40" width="7" customWidth="1"/>
    <col min="41" max="49" width="14" customWidth="1"/>
  </cols>
  <sheetData>
    <row r="1" spans="1:49" ht="30" customHeight="1" x14ac:dyDescent="0.3">
      <c r="A1" s="71" t="s">
        <v>310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</row>
    <row r="2" spans="1:49" ht="21.75" customHeight="1" x14ac:dyDescent="0.3">
      <c r="A2" s="76" t="s">
        <v>63</v>
      </c>
      <c r="B2" s="60"/>
      <c r="C2" s="60"/>
      <c r="D2" s="60"/>
      <c r="E2" s="60"/>
      <c r="F2" s="60"/>
      <c r="G2" s="60"/>
      <c r="H2" s="60"/>
      <c r="I2" s="60"/>
      <c r="J2" s="75" t="s">
        <v>64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74" t="s">
        <v>65</v>
      </c>
      <c r="AP2" s="60"/>
      <c r="AQ2" s="60"/>
      <c r="AR2" s="60"/>
      <c r="AS2" s="60"/>
      <c r="AT2" s="60"/>
      <c r="AU2" s="60"/>
      <c r="AV2" s="60"/>
    </row>
    <row r="3" spans="1:49" ht="42" customHeight="1" x14ac:dyDescent="0.3">
      <c r="A3" s="30" t="s">
        <v>39</v>
      </c>
      <c r="B3" s="30" t="s">
        <v>66</v>
      </c>
      <c r="C3" s="30" t="s">
        <v>40</v>
      </c>
      <c r="D3" s="30" t="s">
        <v>41</v>
      </c>
      <c r="E3" s="30" t="s">
        <v>67</v>
      </c>
      <c r="F3" s="30" t="s">
        <v>68</v>
      </c>
      <c r="G3" s="30" t="s">
        <v>69</v>
      </c>
      <c r="H3" s="30" t="s">
        <v>70</v>
      </c>
      <c r="I3" s="30" t="s">
        <v>71</v>
      </c>
      <c r="J3" s="31" t="s">
        <v>217</v>
      </c>
      <c r="K3" s="31" t="s">
        <v>218</v>
      </c>
      <c r="L3" s="31" t="s">
        <v>219</v>
      </c>
      <c r="M3" s="31" t="s">
        <v>220</v>
      </c>
      <c r="N3" s="32" t="s">
        <v>221</v>
      </c>
      <c r="O3" s="32" t="s">
        <v>222</v>
      </c>
      <c r="P3" s="31" t="s">
        <v>223</v>
      </c>
      <c r="Q3" s="31" t="s">
        <v>224</v>
      </c>
      <c r="R3" s="31" t="s">
        <v>225</v>
      </c>
      <c r="S3" s="31" t="s">
        <v>226</v>
      </c>
      <c r="T3" s="31" t="s">
        <v>227</v>
      </c>
      <c r="U3" s="32" t="s">
        <v>228</v>
      </c>
      <c r="V3" s="32" t="s">
        <v>229</v>
      </c>
      <c r="W3" s="31" t="s">
        <v>230</v>
      </c>
      <c r="X3" s="31" t="s">
        <v>231</v>
      </c>
      <c r="Y3" s="31" t="s">
        <v>232</v>
      </c>
      <c r="Z3" s="31" t="s">
        <v>233</v>
      </c>
      <c r="AA3" s="31" t="s">
        <v>234</v>
      </c>
      <c r="AB3" s="32" t="s">
        <v>235</v>
      </c>
      <c r="AC3" s="32" t="s">
        <v>236</v>
      </c>
      <c r="AD3" s="31" t="s">
        <v>237</v>
      </c>
      <c r="AE3" s="31" t="s">
        <v>238</v>
      </c>
      <c r="AF3" s="31" t="s">
        <v>239</v>
      </c>
      <c r="AG3" s="31" t="s">
        <v>240</v>
      </c>
      <c r="AH3" s="31" t="s">
        <v>241</v>
      </c>
      <c r="AI3" s="32" t="s">
        <v>242</v>
      </c>
      <c r="AJ3" s="32" t="s">
        <v>243</v>
      </c>
      <c r="AK3" s="31" t="s">
        <v>244</v>
      </c>
      <c r="AL3" s="31" t="s">
        <v>245</v>
      </c>
      <c r="AM3" s="31" t="s">
        <v>246</v>
      </c>
      <c r="AN3" s="31" t="s">
        <v>311</v>
      </c>
      <c r="AO3" s="13" t="s">
        <v>102</v>
      </c>
      <c r="AP3" s="13" t="s">
        <v>103</v>
      </c>
      <c r="AQ3" s="13" t="s">
        <v>104</v>
      </c>
      <c r="AR3" s="13" t="s">
        <v>105</v>
      </c>
      <c r="AS3" s="13" t="s">
        <v>106</v>
      </c>
      <c r="AT3" s="13" t="s">
        <v>107</v>
      </c>
      <c r="AU3" s="13" t="s">
        <v>108</v>
      </c>
      <c r="AV3" s="13" t="s">
        <v>109</v>
      </c>
      <c r="AW3" s="13" t="s">
        <v>55</v>
      </c>
    </row>
    <row r="4" spans="1:49" ht="19.5" customHeight="1" x14ac:dyDescent="0.3">
      <c r="A4" s="77" t="s">
        <v>110</v>
      </c>
      <c r="B4" s="72" t="s">
        <v>25</v>
      </c>
      <c r="C4" s="72" t="s">
        <v>58</v>
      </c>
      <c r="D4" s="77" t="s">
        <v>2</v>
      </c>
      <c r="E4" s="73" t="s">
        <v>27</v>
      </c>
      <c r="F4" s="73" t="s">
        <v>29</v>
      </c>
      <c r="G4" s="38" t="s">
        <v>59</v>
      </c>
      <c r="H4" s="73">
        <v>70</v>
      </c>
      <c r="I4" s="73">
        <v>70</v>
      </c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>
        <f t="shared" ref="AO4:AO15" si="0">SUM(J4:AN4)</f>
        <v>0</v>
      </c>
      <c r="AP4" s="41">
        <f>'⚙ Настройки'!B9</f>
        <v>14</v>
      </c>
      <c r="AQ4" s="42">
        <f>IFERROR(AO5/AO4*100,0)</f>
        <v>0</v>
      </c>
      <c r="AR4" s="42">
        <f>IFERROR(AO4*AP4/100,0)</f>
        <v>0</v>
      </c>
      <c r="AS4" s="42">
        <f>AO5</f>
        <v>0</v>
      </c>
      <c r="AT4" s="42">
        <f>AR4-AS4</f>
        <v>0</v>
      </c>
      <c r="AU4" s="43">
        <f>IFERROR((AS4-AR4)/AR4*100,0)</f>
        <v>0</v>
      </c>
      <c r="AV4" s="41">
        <f>AS4*'⚙ Настройки'!B10</f>
        <v>0</v>
      </c>
      <c r="AW4" s="44" t="str">
        <f>IF(AO4=0,"—",IF(AU4&lt;='⚙ Настройки'!B11,"✅ ОК","⚠️ ПЕРЕРАСХОД"))</f>
        <v>—</v>
      </c>
    </row>
    <row r="5" spans="1:49" ht="18" customHeight="1" x14ac:dyDescent="0.3">
      <c r="A5" s="68"/>
      <c r="B5" s="68"/>
      <c r="C5" s="68"/>
      <c r="D5" s="68"/>
      <c r="E5" s="68"/>
      <c r="F5" s="68"/>
      <c r="G5" s="45" t="s">
        <v>111</v>
      </c>
      <c r="H5" s="68"/>
      <c r="I5" s="68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7">
        <f t="shared" si="0"/>
        <v>0</v>
      </c>
      <c r="AP5" s="18"/>
      <c r="AQ5" s="15"/>
      <c r="AR5" s="18"/>
      <c r="AS5" s="15"/>
      <c r="AT5" s="15"/>
      <c r="AU5" s="15"/>
      <c r="AV5" s="15"/>
      <c r="AW5" s="15"/>
    </row>
    <row r="6" spans="1:49" ht="16.95" customHeight="1" x14ac:dyDescent="0.3">
      <c r="A6" s="88" t="s">
        <v>15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9">
        <f t="shared" si="0"/>
        <v>0</v>
      </c>
    </row>
    <row r="7" spans="1:49" ht="16.95" customHeight="1" x14ac:dyDescent="0.3">
      <c r="A7" s="6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1">
        <f t="shared" si="0"/>
        <v>0</v>
      </c>
    </row>
    <row r="8" spans="1:49" ht="19.5" customHeight="1" x14ac:dyDescent="0.3">
      <c r="A8" s="77" t="s">
        <v>112</v>
      </c>
      <c r="B8" s="72" t="s">
        <v>25</v>
      </c>
      <c r="C8" s="72" t="s">
        <v>58</v>
      </c>
      <c r="D8" s="77" t="s">
        <v>3</v>
      </c>
      <c r="E8" s="73" t="s">
        <v>27</v>
      </c>
      <c r="F8" s="73" t="s">
        <v>30</v>
      </c>
      <c r="G8" s="38" t="s">
        <v>59</v>
      </c>
      <c r="H8" s="73">
        <v>70</v>
      </c>
      <c r="I8" s="73">
        <v>70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40">
        <f t="shared" si="0"/>
        <v>0</v>
      </c>
      <c r="AP8" s="41">
        <f>'⚙ Настройки'!C9</f>
        <v>14</v>
      </c>
      <c r="AQ8" s="42">
        <f>IFERROR(AO9/AO8*100,0)</f>
        <v>0</v>
      </c>
      <c r="AR8" s="42">
        <f>IFERROR(AO8*AP8/100,0)</f>
        <v>0</v>
      </c>
      <c r="AS8" s="42">
        <f>AO9</f>
        <v>0</v>
      </c>
      <c r="AT8" s="42">
        <f>AR8-AS8</f>
        <v>0</v>
      </c>
      <c r="AU8" s="43">
        <f>IFERROR((AS8-AR8)/AR8*100,0)</f>
        <v>0</v>
      </c>
      <c r="AV8" s="41">
        <f>AS8*'⚙ Настройки'!C10</f>
        <v>0</v>
      </c>
      <c r="AW8" s="44" t="str">
        <f>IF(AO8=0,"—",IF(AU8&lt;='⚙ Настройки'!C11,"✅ ОК","⚠️ ПЕРЕРАСХОД"))</f>
        <v>—</v>
      </c>
    </row>
    <row r="9" spans="1:49" ht="18" customHeight="1" x14ac:dyDescent="0.3">
      <c r="A9" s="68"/>
      <c r="B9" s="68"/>
      <c r="C9" s="68"/>
      <c r="D9" s="68"/>
      <c r="E9" s="68"/>
      <c r="F9" s="68"/>
      <c r="G9" s="45" t="s">
        <v>111</v>
      </c>
      <c r="H9" s="68"/>
      <c r="I9" s="68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7">
        <f t="shared" si="0"/>
        <v>0</v>
      </c>
      <c r="AP9" s="18"/>
      <c r="AQ9" s="15"/>
      <c r="AR9" s="18"/>
      <c r="AS9" s="15"/>
      <c r="AT9" s="15"/>
      <c r="AU9" s="15"/>
      <c r="AV9" s="15"/>
      <c r="AW9" s="15"/>
    </row>
    <row r="10" spans="1:49" ht="16.95" customHeight="1" x14ac:dyDescent="0.3">
      <c r="A10" s="88" t="s">
        <v>15</v>
      </c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9">
        <f t="shared" si="0"/>
        <v>0</v>
      </c>
    </row>
    <row r="11" spans="1:49" ht="16.95" customHeight="1" x14ac:dyDescent="0.3">
      <c r="A11" s="6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1">
        <f t="shared" si="0"/>
        <v>0</v>
      </c>
    </row>
    <row r="12" spans="1:49" ht="19.5" customHeight="1" x14ac:dyDescent="0.3">
      <c r="A12" s="77" t="s">
        <v>113</v>
      </c>
      <c r="B12" s="72" t="s">
        <v>25</v>
      </c>
      <c r="C12" s="72" t="s">
        <v>58</v>
      </c>
      <c r="D12" s="77" t="s">
        <v>4</v>
      </c>
      <c r="E12" s="73" t="s">
        <v>27</v>
      </c>
      <c r="F12" s="73" t="s">
        <v>31</v>
      </c>
      <c r="G12" s="38" t="s">
        <v>59</v>
      </c>
      <c r="H12" s="73">
        <v>70</v>
      </c>
      <c r="I12" s="73">
        <v>70</v>
      </c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40">
        <f t="shared" si="0"/>
        <v>0</v>
      </c>
      <c r="AP12" s="41">
        <f>'⚙ Настройки'!D9</f>
        <v>14</v>
      </c>
      <c r="AQ12" s="42">
        <f>IFERROR(AO13/AO12*100,0)</f>
        <v>0</v>
      </c>
      <c r="AR12" s="42">
        <f>IFERROR(AO12*AP12/100,0)</f>
        <v>0</v>
      </c>
      <c r="AS12" s="42">
        <f>AO13</f>
        <v>0</v>
      </c>
      <c r="AT12" s="42">
        <f>AR12-AS12</f>
        <v>0</v>
      </c>
      <c r="AU12" s="43">
        <f>IFERROR((AS12-AR12)/AR12*100,0)</f>
        <v>0</v>
      </c>
      <c r="AV12" s="41">
        <f>AS12*'⚙ Настройки'!D10</f>
        <v>0</v>
      </c>
      <c r="AW12" s="44" t="str">
        <f>IF(AO12=0,"—",IF(AU12&lt;='⚙ Настройки'!D11,"✅ ОК","⚠️ ПЕРЕРАСХОД"))</f>
        <v>—</v>
      </c>
    </row>
    <row r="13" spans="1:49" ht="18" customHeight="1" x14ac:dyDescent="0.3">
      <c r="A13" s="68"/>
      <c r="B13" s="68"/>
      <c r="C13" s="68"/>
      <c r="D13" s="68"/>
      <c r="E13" s="68"/>
      <c r="F13" s="68"/>
      <c r="G13" s="45" t="s">
        <v>111</v>
      </c>
      <c r="H13" s="68"/>
      <c r="I13" s="6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7">
        <f t="shared" si="0"/>
        <v>0</v>
      </c>
      <c r="AP13" s="18"/>
      <c r="AQ13" s="15"/>
      <c r="AR13" s="18"/>
      <c r="AS13" s="15"/>
      <c r="AT13" s="15"/>
      <c r="AU13" s="15"/>
      <c r="AV13" s="15"/>
      <c r="AW13" s="15"/>
    </row>
    <row r="14" spans="1:49" ht="16.95" customHeight="1" x14ac:dyDescent="0.3">
      <c r="A14" s="88" t="s">
        <v>15</v>
      </c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9">
        <f t="shared" si="0"/>
        <v>0</v>
      </c>
    </row>
    <row r="15" spans="1:49" ht="16.95" customHeight="1" x14ac:dyDescent="0.3">
      <c r="A15" s="6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1">
        <f t="shared" si="0"/>
        <v>0</v>
      </c>
    </row>
    <row r="16" spans="1:49" ht="21" customHeight="1" x14ac:dyDescent="0.3">
      <c r="A16" s="83" t="s">
        <v>114</v>
      </c>
      <c r="B16" s="62"/>
      <c r="C16" s="62"/>
      <c r="D16" s="62"/>
      <c r="E16" s="62"/>
      <c r="F16" s="62"/>
      <c r="G16" s="62"/>
      <c r="H16" s="62"/>
      <c r="I16" s="62"/>
      <c r="J16" s="52">
        <f t="shared" ref="J16:AO16" si="1">J4+J8+J12</f>
        <v>0</v>
      </c>
      <c r="K16" s="52">
        <f t="shared" si="1"/>
        <v>0</v>
      </c>
      <c r="L16" s="52">
        <f t="shared" si="1"/>
        <v>0</v>
      </c>
      <c r="M16" s="52">
        <f t="shared" si="1"/>
        <v>0</v>
      </c>
      <c r="N16" s="52">
        <f t="shared" si="1"/>
        <v>0</v>
      </c>
      <c r="O16" s="52">
        <f t="shared" si="1"/>
        <v>0</v>
      </c>
      <c r="P16" s="52">
        <f t="shared" si="1"/>
        <v>0</v>
      </c>
      <c r="Q16" s="52">
        <f t="shared" si="1"/>
        <v>0</v>
      </c>
      <c r="R16" s="52">
        <f t="shared" si="1"/>
        <v>0</v>
      </c>
      <c r="S16" s="52">
        <f t="shared" si="1"/>
        <v>0</v>
      </c>
      <c r="T16" s="52">
        <f t="shared" si="1"/>
        <v>0</v>
      </c>
      <c r="U16" s="52">
        <f t="shared" si="1"/>
        <v>0</v>
      </c>
      <c r="V16" s="52">
        <f t="shared" si="1"/>
        <v>0</v>
      </c>
      <c r="W16" s="52">
        <f t="shared" si="1"/>
        <v>0</v>
      </c>
      <c r="X16" s="52">
        <f t="shared" si="1"/>
        <v>0</v>
      </c>
      <c r="Y16" s="52">
        <f t="shared" si="1"/>
        <v>0</v>
      </c>
      <c r="Z16" s="52">
        <f t="shared" si="1"/>
        <v>0</v>
      </c>
      <c r="AA16" s="52">
        <f t="shared" si="1"/>
        <v>0</v>
      </c>
      <c r="AB16" s="52">
        <f t="shared" si="1"/>
        <v>0</v>
      </c>
      <c r="AC16" s="52">
        <f t="shared" si="1"/>
        <v>0</v>
      </c>
      <c r="AD16" s="52">
        <f t="shared" si="1"/>
        <v>0</v>
      </c>
      <c r="AE16" s="52">
        <f t="shared" si="1"/>
        <v>0</v>
      </c>
      <c r="AF16" s="52">
        <f t="shared" si="1"/>
        <v>0</v>
      </c>
      <c r="AG16" s="52">
        <f t="shared" si="1"/>
        <v>0</v>
      </c>
      <c r="AH16" s="52">
        <f t="shared" si="1"/>
        <v>0</v>
      </c>
      <c r="AI16" s="52">
        <f t="shared" si="1"/>
        <v>0</v>
      </c>
      <c r="AJ16" s="52">
        <f t="shared" si="1"/>
        <v>0</v>
      </c>
      <c r="AK16" s="52">
        <f t="shared" si="1"/>
        <v>0</v>
      </c>
      <c r="AL16" s="52">
        <f t="shared" si="1"/>
        <v>0</v>
      </c>
      <c r="AM16" s="52">
        <f t="shared" si="1"/>
        <v>0</v>
      </c>
      <c r="AN16" s="52">
        <f t="shared" si="1"/>
        <v>0</v>
      </c>
      <c r="AO16" s="53">
        <f t="shared" si="1"/>
        <v>0</v>
      </c>
      <c r="AP16" s="86" t="s">
        <v>115</v>
      </c>
      <c r="AQ16" s="87"/>
      <c r="AR16" s="87"/>
      <c r="AS16" s="87"/>
      <c r="AT16" s="87"/>
      <c r="AU16" s="84">
        <f>AU4+AU8+AU12</f>
        <v>0</v>
      </c>
      <c r="AV16" s="85"/>
    </row>
    <row r="17" spans="1:41" ht="18" customHeight="1" x14ac:dyDescent="0.3">
      <c r="A17" s="83" t="s">
        <v>116</v>
      </c>
      <c r="B17" s="62"/>
      <c r="C17" s="62"/>
      <c r="D17" s="62"/>
      <c r="E17" s="62"/>
      <c r="F17" s="62"/>
      <c r="G17" s="62"/>
      <c r="H17" s="62"/>
      <c r="I17" s="62"/>
      <c r="J17" s="54">
        <f t="shared" ref="J17:AO17" si="2">J5+J9+J13</f>
        <v>0</v>
      </c>
      <c r="K17" s="54">
        <f t="shared" si="2"/>
        <v>0</v>
      </c>
      <c r="L17" s="54">
        <f t="shared" si="2"/>
        <v>0</v>
      </c>
      <c r="M17" s="54">
        <f t="shared" si="2"/>
        <v>0</v>
      </c>
      <c r="N17" s="54">
        <f t="shared" si="2"/>
        <v>0</v>
      </c>
      <c r="O17" s="54">
        <f t="shared" si="2"/>
        <v>0</v>
      </c>
      <c r="P17" s="54">
        <f t="shared" si="2"/>
        <v>0</v>
      </c>
      <c r="Q17" s="54">
        <f t="shared" si="2"/>
        <v>0</v>
      </c>
      <c r="R17" s="54">
        <f t="shared" si="2"/>
        <v>0</v>
      </c>
      <c r="S17" s="54">
        <f t="shared" si="2"/>
        <v>0</v>
      </c>
      <c r="T17" s="54">
        <f t="shared" si="2"/>
        <v>0</v>
      </c>
      <c r="U17" s="54">
        <f t="shared" si="2"/>
        <v>0</v>
      </c>
      <c r="V17" s="54">
        <f t="shared" si="2"/>
        <v>0</v>
      </c>
      <c r="W17" s="54">
        <f t="shared" si="2"/>
        <v>0</v>
      </c>
      <c r="X17" s="54">
        <f t="shared" si="2"/>
        <v>0</v>
      </c>
      <c r="Y17" s="54">
        <f t="shared" si="2"/>
        <v>0</v>
      </c>
      <c r="Z17" s="54">
        <f t="shared" si="2"/>
        <v>0</v>
      </c>
      <c r="AA17" s="54">
        <f t="shared" si="2"/>
        <v>0</v>
      </c>
      <c r="AB17" s="54">
        <f t="shared" si="2"/>
        <v>0</v>
      </c>
      <c r="AC17" s="54">
        <f t="shared" si="2"/>
        <v>0</v>
      </c>
      <c r="AD17" s="54">
        <f t="shared" si="2"/>
        <v>0</v>
      </c>
      <c r="AE17" s="54">
        <f t="shared" si="2"/>
        <v>0</v>
      </c>
      <c r="AF17" s="54">
        <f t="shared" si="2"/>
        <v>0</v>
      </c>
      <c r="AG17" s="54">
        <f t="shared" si="2"/>
        <v>0</v>
      </c>
      <c r="AH17" s="54">
        <f t="shared" si="2"/>
        <v>0</v>
      </c>
      <c r="AI17" s="54">
        <f t="shared" si="2"/>
        <v>0</v>
      </c>
      <c r="AJ17" s="54">
        <f t="shared" si="2"/>
        <v>0</v>
      </c>
      <c r="AK17" s="54">
        <f t="shared" si="2"/>
        <v>0</v>
      </c>
      <c r="AL17" s="54">
        <f t="shared" si="2"/>
        <v>0</v>
      </c>
      <c r="AM17" s="54">
        <f t="shared" si="2"/>
        <v>0</v>
      </c>
      <c r="AN17" s="54">
        <f t="shared" si="2"/>
        <v>0</v>
      </c>
      <c r="AO17" s="53">
        <f t="shared" si="2"/>
        <v>0</v>
      </c>
    </row>
    <row r="18" spans="1:41" ht="18" customHeight="1" x14ac:dyDescent="0.3">
      <c r="A18" s="81" t="s">
        <v>117</v>
      </c>
      <c r="B18" s="60"/>
      <c r="C18" s="60"/>
      <c r="D18" s="60"/>
      <c r="E18" s="60"/>
      <c r="F18" s="60"/>
      <c r="G18" s="60"/>
      <c r="H18" s="60"/>
      <c r="I18" s="60"/>
      <c r="J18" s="55">
        <f t="shared" ref="J18:AO18" si="3">J6+J10+J14</f>
        <v>0</v>
      </c>
      <c r="K18" s="55">
        <f t="shared" si="3"/>
        <v>0</v>
      </c>
      <c r="L18" s="55">
        <f t="shared" si="3"/>
        <v>0</v>
      </c>
      <c r="M18" s="55">
        <f t="shared" si="3"/>
        <v>0</v>
      </c>
      <c r="N18" s="55">
        <f t="shared" si="3"/>
        <v>0</v>
      </c>
      <c r="O18" s="55">
        <f t="shared" si="3"/>
        <v>0</v>
      </c>
      <c r="P18" s="55">
        <f t="shared" si="3"/>
        <v>0</v>
      </c>
      <c r="Q18" s="55">
        <f t="shared" si="3"/>
        <v>0</v>
      </c>
      <c r="R18" s="55">
        <f t="shared" si="3"/>
        <v>0</v>
      </c>
      <c r="S18" s="55">
        <f t="shared" si="3"/>
        <v>0</v>
      </c>
      <c r="T18" s="55">
        <f t="shared" si="3"/>
        <v>0</v>
      </c>
      <c r="U18" s="55">
        <f t="shared" si="3"/>
        <v>0</v>
      </c>
      <c r="V18" s="55">
        <f t="shared" si="3"/>
        <v>0</v>
      </c>
      <c r="W18" s="55">
        <f t="shared" si="3"/>
        <v>0</v>
      </c>
      <c r="X18" s="55">
        <f t="shared" si="3"/>
        <v>0</v>
      </c>
      <c r="Y18" s="55">
        <f t="shared" si="3"/>
        <v>0</v>
      </c>
      <c r="Z18" s="55">
        <f t="shared" si="3"/>
        <v>0</v>
      </c>
      <c r="AA18" s="55">
        <f t="shared" si="3"/>
        <v>0</v>
      </c>
      <c r="AB18" s="55">
        <f t="shared" si="3"/>
        <v>0</v>
      </c>
      <c r="AC18" s="55">
        <f t="shared" si="3"/>
        <v>0</v>
      </c>
      <c r="AD18" s="55">
        <f t="shared" si="3"/>
        <v>0</v>
      </c>
      <c r="AE18" s="55">
        <f t="shared" si="3"/>
        <v>0</v>
      </c>
      <c r="AF18" s="55">
        <f t="shared" si="3"/>
        <v>0</v>
      </c>
      <c r="AG18" s="55">
        <f t="shared" si="3"/>
        <v>0</v>
      </c>
      <c r="AH18" s="55">
        <f t="shared" si="3"/>
        <v>0</v>
      </c>
      <c r="AI18" s="55">
        <f t="shared" si="3"/>
        <v>0</v>
      </c>
      <c r="AJ18" s="55">
        <f t="shared" si="3"/>
        <v>0</v>
      </c>
      <c r="AK18" s="55">
        <f t="shared" si="3"/>
        <v>0</v>
      </c>
      <c r="AL18" s="55">
        <f t="shared" si="3"/>
        <v>0</v>
      </c>
      <c r="AM18" s="55">
        <f t="shared" si="3"/>
        <v>0</v>
      </c>
      <c r="AN18" s="55">
        <f t="shared" si="3"/>
        <v>0</v>
      </c>
      <c r="AO18" s="56">
        <f t="shared" si="3"/>
        <v>0</v>
      </c>
    </row>
    <row r="19" spans="1:41" ht="18" customHeight="1" x14ac:dyDescent="0.3">
      <c r="A19" s="78" t="s">
        <v>118</v>
      </c>
      <c r="B19" s="60"/>
      <c r="C19" s="60"/>
      <c r="D19" s="60"/>
      <c r="E19" s="60"/>
      <c r="F19" s="60"/>
      <c r="G19" s="60"/>
      <c r="H19" s="60"/>
      <c r="I19" s="60"/>
      <c r="J19" s="57">
        <f t="shared" ref="J19:AO19" si="4">J7+J11+J15</f>
        <v>0</v>
      </c>
      <c r="K19" s="57">
        <f t="shared" si="4"/>
        <v>0</v>
      </c>
      <c r="L19" s="57">
        <f t="shared" si="4"/>
        <v>0</v>
      </c>
      <c r="M19" s="57">
        <f t="shared" si="4"/>
        <v>0</v>
      </c>
      <c r="N19" s="57">
        <f t="shared" si="4"/>
        <v>0</v>
      </c>
      <c r="O19" s="57">
        <f t="shared" si="4"/>
        <v>0</v>
      </c>
      <c r="P19" s="57">
        <f t="shared" si="4"/>
        <v>0</v>
      </c>
      <c r="Q19" s="57">
        <f t="shared" si="4"/>
        <v>0</v>
      </c>
      <c r="R19" s="57">
        <f t="shared" si="4"/>
        <v>0</v>
      </c>
      <c r="S19" s="57">
        <f t="shared" si="4"/>
        <v>0</v>
      </c>
      <c r="T19" s="57">
        <f t="shared" si="4"/>
        <v>0</v>
      </c>
      <c r="U19" s="57">
        <f t="shared" si="4"/>
        <v>0</v>
      </c>
      <c r="V19" s="57">
        <f t="shared" si="4"/>
        <v>0</v>
      </c>
      <c r="W19" s="57">
        <f t="shared" si="4"/>
        <v>0</v>
      </c>
      <c r="X19" s="57">
        <f t="shared" si="4"/>
        <v>0</v>
      </c>
      <c r="Y19" s="57">
        <f t="shared" si="4"/>
        <v>0</v>
      </c>
      <c r="Z19" s="57">
        <f t="shared" si="4"/>
        <v>0</v>
      </c>
      <c r="AA19" s="57">
        <f t="shared" si="4"/>
        <v>0</v>
      </c>
      <c r="AB19" s="57">
        <f t="shared" si="4"/>
        <v>0</v>
      </c>
      <c r="AC19" s="57">
        <f t="shared" si="4"/>
        <v>0</v>
      </c>
      <c r="AD19" s="57">
        <f t="shared" si="4"/>
        <v>0</v>
      </c>
      <c r="AE19" s="57">
        <f t="shared" si="4"/>
        <v>0</v>
      </c>
      <c r="AF19" s="57">
        <f t="shared" si="4"/>
        <v>0</v>
      </c>
      <c r="AG19" s="57">
        <f t="shared" si="4"/>
        <v>0</v>
      </c>
      <c r="AH19" s="57">
        <f t="shared" si="4"/>
        <v>0</v>
      </c>
      <c r="AI19" s="57">
        <f t="shared" si="4"/>
        <v>0</v>
      </c>
      <c r="AJ19" s="57">
        <f t="shared" si="4"/>
        <v>0</v>
      </c>
      <c r="AK19" s="57">
        <f t="shared" si="4"/>
        <v>0</v>
      </c>
      <c r="AL19" s="57">
        <f t="shared" si="4"/>
        <v>0</v>
      </c>
      <c r="AM19" s="57">
        <f t="shared" si="4"/>
        <v>0</v>
      </c>
      <c r="AN19" s="57">
        <f t="shared" si="4"/>
        <v>0</v>
      </c>
      <c r="AO19" s="58">
        <f t="shared" si="4"/>
        <v>0</v>
      </c>
    </row>
  </sheetData>
  <mergeCells count="37">
    <mergeCell ref="AU16:AV16"/>
    <mergeCell ref="A10:A11"/>
    <mergeCell ref="B4:B5"/>
    <mergeCell ref="H8:H9"/>
    <mergeCell ref="F4:F5"/>
    <mergeCell ref="E12:E13"/>
    <mergeCell ref="H4:H5"/>
    <mergeCell ref="AP16:AT16"/>
    <mergeCell ref="A16:I16"/>
    <mergeCell ref="E8:E9"/>
    <mergeCell ref="A19:I19"/>
    <mergeCell ref="I8:I9"/>
    <mergeCell ref="C8:C9"/>
    <mergeCell ref="A4:A5"/>
    <mergeCell ref="H12:H13"/>
    <mergeCell ref="I4:I5"/>
    <mergeCell ref="D8:D9"/>
    <mergeCell ref="A18:I18"/>
    <mergeCell ref="A6:A7"/>
    <mergeCell ref="A17:I17"/>
    <mergeCell ref="A14:A15"/>
    <mergeCell ref="A1:AV1"/>
    <mergeCell ref="C4:C5"/>
    <mergeCell ref="AO2:AV2"/>
    <mergeCell ref="B12:B13"/>
    <mergeCell ref="E4:E5"/>
    <mergeCell ref="F12:F13"/>
    <mergeCell ref="B8:B9"/>
    <mergeCell ref="J2:AN2"/>
    <mergeCell ref="A2:I2"/>
    <mergeCell ref="F8:F9"/>
    <mergeCell ref="A12:A13"/>
    <mergeCell ref="D4:D5"/>
    <mergeCell ref="C12:C13"/>
    <mergeCell ref="I12:I13"/>
    <mergeCell ref="D12:D13"/>
    <mergeCell ref="A8:A9"/>
  </mergeCells>
  <conditionalFormatting sqref="J6:AN6">
    <cfRule type="expression" dxfId="7" priority="1" stopIfTrue="1">
      <formula>J6&gt;0</formula>
    </cfRule>
  </conditionalFormatting>
  <conditionalFormatting sqref="J7:AN7">
    <cfRule type="expression" dxfId="6" priority="2" stopIfTrue="1">
      <formula>J7&gt;0</formula>
    </cfRule>
  </conditionalFormatting>
  <conditionalFormatting sqref="J10:AN10">
    <cfRule type="expression" dxfId="5" priority="3" stopIfTrue="1">
      <formula>J10&gt;0</formula>
    </cfRule>
  </conditionalFormatting>
  <conditionalFormatting sqref="J11:AN11">
    <cfRule type="expression" dxfId="4" priority="4" stopIfTrue="1">
      <formula>J11&gt;0</formula>
    </cfRule>
  </conditionalFormatting>
  <conditionalFormatting sqref="J14:AN14">
    <cfRule type="expression" dxfId="3" priority="5" stopIfTrue="1">
      <formula>J14&gt;0</formula>
    </cfRule>
  </conditionalFormatting>
  <conditionalFormatting sqref="J15:AN15">
    <cfRule type="expression" dxfId="2" priority="6" stopIfTrue="1">
      <formula>J15&gt;0</formula>
    </cfRule>
  </conditionalFormatting>
  <conditionalFormatting sqref="J18:AN18">
    <cfRule type="expression" dxfId="1" priority="7" stopIfTrue="1">
      <formula>J18&gt;0</formula>
    </cfRule>
  </conditionalFormatting>
  <conditionalFormatting sqref="J19:AN19">
    <cfRule type="expression" dxfId="0" priority="8" stopIfTrue="1">
      <formula>J19&gt;0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📋 ДАШБОРД</vt:lpstr>
      <vt:lpstr>⚙ Настройки</vt:lpstr>
      <vt:lpstr>📊 ВСЕ ПРОЕКТЫ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Kurvanzhan Izimov</cp:lastModifiedBy>
  <cp:revision>0</cp:revision>
  <dcterms:created xsi:type="dcterms:W3CDTF">2026-04-26T08:23:58Z</dcterms:created>
  <dcterms:modified xsi:type="dcterms:W3CDTF">2026-05-02T17:19:46Z</dcterms:modified>
  <dc:language>en-US</dc:language>
</cp:coreProperties>
</file>